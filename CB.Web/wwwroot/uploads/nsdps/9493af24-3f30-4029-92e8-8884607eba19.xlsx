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897" activeTab="5"/>
  </bookViews>
  <sheets>
    <sheet name="AZIR website" sheetId="21" r:id="rId1"/>
    <sheet name="1D AZIR və 1W AZIR" sheetId="20" state="hidden" r:id="rId2"/>
    <sheet name="1D AZIR və 1W AZIR %" sheetId="17" state="hidden" r:id="rId3"/>
    <sheet name="1D AZIR və 1W AZIR   VOLUME" sheetId="19" state="hidden" r:id="rId4"/>
    <sheet name="1D AZIR və 1W AZIR   COUNT" sheetId="18" state="hidden" r:id="rId5"/>
    <sheet name="Toplanan Faizli indekslər" sheetId="2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<sst xmlns="http://schemas.openxmlformats.org/spreadsheetml/2006/main" count="50" uniqueCount="31">
  <si>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AZIR indeksi ilə bağlı məlumatlar</t>
  </si>
  <si>
    <t>Yenilənmə tarixi</t>
  </si>
  <si>
    <r>
      <rPr>
        <sz val="14"/>
        <color theme="1"/>
        <rFont val="Arial"/>
        <charset val="134"/>
      </rPr>
      <t xml:space="preserve">Faiz indeksi, </t>
    </r>
    <r>
      <rPr>
        <i/>
        <sz val="12"/>
        <color theme="1"/>
        <rFont val="Arial"/>
        <charset val="134"/>
      </rPr>
      <t>%-lə</t>
    </r>
  </si>
  <si>
    <t>Ötən ayın sonundan faiz fərqi</t>
  </si>
  <si>
    <t>Ötən ilin sonundan faiz fərqi</t>
  </si>
  <si>
    <t>Son 1 ildə minimum faiz</t>
  </si>
  <si>
    <t>Son 1 ildə maksimum faiz</t>
  </si>
  <si>
    <r>
      <rPr>
        <sz val="14"/>
        <color theme="1"/>
        <rFont val="Arial"/>
        <charset val="134"/>
      </rPr>
      <t xml:space="preserve">Əməliyyat həcmi, </t>
    </r>
    <r>
      <rPr>
        <i/>
        <sz val="12"/>
        <color theme="1"/>
        <rFont val="Arial"/>
        <charset val="134"/>
      </rPr>
      <t>mln. manatla</t>
    </r>
  </si>
  <si>
    <t>Ötən ayın sonundan dəyişim</t>
  </si>
  <si>
    <t>Son 1 ildə minimum həcm</t>
  </si>
  <si>
    <t>Son 1 ildə maksimum həcm</t>
  </si>
  <si>
    <r>
      <rPr>
        <sz val="14"/>
        <color theme="1"/>
        <rFont val="Arial"/>
        <charset val="134"/>
      </rPr>
      <t xml:space="preserve">Əməliyyat həcminin dollarla ifadəsi, </t>
    </r>
    <r>
      <rPr>
        <i/>
        <sz val="12"/>
        <color theme="1"/>
        <rFont val="Arial"/>
        <charset val="134"/>
      </rPr>
      <t>mln. USD</t>
    </r>
  </si>
  <si>
    <t>*Banklararası Təminatsız Pul Bazarında İstinad Faiz Dərəcəsi - AZIR (Azerbaijan Interbank Rate)</t>
  </si>
  <si>
    <t>Tarix</t>
  </si>
  <si>
    <t>Faiz</t>
  </si>
  <si>
    <t>Əqdlərin həcmi, mln. ₼</t>
  </si>
  <si>
    <t>Əqdlərin sayı</t>
  </si>
  <si>
    <t>1D AZIR</t>
  </si>
  <si>
    <t>1W AZIR</t>
  </si>
  <si>
    <t>Faiz indeksi</t>
  </si>
  <si>
    <t>İndeksi formalaşdıran əməliyyatların  həcmi, mln. ₼</t>
  </si>
  <si>
    <t>İndeksi formalaşdıran əməliyyatların sayı</t>
  </si>
  <si>
    <t>*AZIR (Azerbaijan Interbank Rate) - Blumberq ticarət platformasında Azərbaycan Respublikasında fəaliyyət göstərən kommersiya bankları arasında milli valyutada bağlanan əqdlərin orta çəkili faiz dərəcəsini əks etdirən müxtəlif müddətli indekslərdir</t>
  </si>
  <si>
    <t>Toplanan faizli 30, 90, 180 günlük AZIR*</t>
  </si>
  <si>
    <t>Toplanan Faizli Artan AZIR indeksi (TFAİ)**
 (01.11.2024=100)</t>
  </si>
  <si>
    <t>*Toplanan faizli 30,90, 180 günlük AZİR hesablanma qaydası ilə metodologiya sənədində tanış ola bilərsiniz.</t>
  </si>
  <si>
    <t>**Toplanan Faizli Artan AZİR hesablanma qaydası ilə metodologiya sənədində tanış ola bilərsiniz.</t>
  </si>
  <si>
    <t>Toplanan faizli 30 günlük AZIR</t>
  </si>
  <si>
    <t>Toplanan faizli 90 günlük AZIR</t>
  </si>
  <si>
    <t>Toplanan faizli 180 günlük AZIR</t>
  </si>
  <si>
    <t>TFAİ*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</si>
</sst>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* #,##0.00_-;\-* #,##0.00_-;_-* &quot;-&quot;??_-;_-@_-"/>
    <numFmt numFmtId="178" formatCode="_-* #,##0.00\ _₼_-;\-* #,##0.00\ _₼_-;_-* &quot;-&quot;??\ _₼_-;_-@_-"/>
    <numFmt numFmtId="179" formatCode="0.0000%"/>
    <numFmt numFmtId="180" formatCode="_-* #,##0_-;\-* #,##0_-;_-* &quot;-&quot;??_-;_-@_-"/>
    <numFmt numFmtId="181" formatCode="_-* #,##0.000000_-;\-* #,##0.000000_-;_-* &quot;-&quot;??_-;_-@_-"/>
    <numFmt numFmtId="182" formatCode="_-* #,##0\ _₼_-;\-* #,##0\ _₼_-;_-* &quot;-&quot;??\ _₼_-;_-@_-"/>
    <numFmt numFmtId="183" formatCode="0.0"/>
    <numFmt numFmtId="184" formatCode="[$-42C]d\ mmmm\ yyyy;@"/>
  </numFmts>
  <fonts count="37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i/>
      <sz val="11"/>
      <color theme="1"/>
      <name val="Arial"/>
      <charset val="134"/>
    </font>
    <font>
      <sz val="12"/>
      <color theme="1"/>
      <name val="Arial"/>
      <charset val="134"/>
    </font>
    <font>
      <sz val="11"/>
      <color rgb="FF002060"/>
      <name val="Arial"/>
      <charset val="134"/>
    </font>
    <font>
      <b/>
      <sz val="16"/>
      <color theme="1"/>
      <name val="Arial"/>
      <charset val="134"/>
    </font>
    <font>
      <sz val="12"/>
      <color theme="1"/>
      <name val="Calibri"/>
      <charset val="134"/>
      <scheme val="minor"/>
    </font>
    <font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8"/>
      <color theme="1"/>
      <name val="Calibri"/>
      <charset val="134"/>
      <scheme val="minor"/>
    </font>
    <font>
      <b/>
      <sz val="16"/>
      <color rgb="FF4DC2C3"/>
      <name val="Arial"/>
      <charset val="134"/>
    </font>
    <font>
      <b/>
      <sz val="11"/>
      <color rgb="FF000000"/>
      <name val="Arial"/>
      <charset val="186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86"/>
      <scheme val="minor"/>
    </font>
    <font>
      <sz val="10"/>
      <name val="Arial"/>
      <charset val="134"/>
    </font>
    <font>
      <i/>
      <sz val="12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9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22" applyNumberFormat="0" applyAlignment="0" applyProtection="0">
      <alignment vertical="center"/>
    </xf>
    <xf numFmtId="0" fontId="24" fillId="7" borderId="23" applyNumberFormat="0" applyAlignment="0" applyProtection="0">
      <alignment vertical="center"/>
    </xf>
    <xf numFmtId="0" fontId="25" fillId="7" borderId="22" applyNumberFormat="0" applyAlignment="0" applyProtection="0">
      <alignment vertical="center"/>
    </xf>
    <xf numFmtId="0" fontId="26" fillId="8" borderId="24" applyNumberFormat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177" fontId="34" fillId="0" borderId="0" applyFont="0" applyFill="0" applyBorder="0" applyAlignment="0" applyProtection="0"/>
    <xf numFmtId="177" fontId="34" fillId="0" borderId="0"/>
    <xf numFmtId="178" fontId="0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0" fillId="0" borderId="0"/>
    <xf numFmtId="0" fontId="34" fillId="0" borderId="0"/>
    <xf numFmtId="0" fontId="34" fillId="0" borderId="0"/>
    <xf numFmtId="0" fontId="34" fillId="0" borderId="0"/>
    <xf numFmtId="9" fontId="34" fillId="0" borderId="0" applyFont="0" applyFill="0" applyBorder="0" applyAlignment="0" applyProtection="0"/>
    <xf numFmtId="9" fontId="34" fillId="0" borderId="0"/>
    <xf numFmtId="9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58" fontId="1" fillId="0" borderId="0" xfId="56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58" fontId="1" fillId="0" borderId="1" xfId="56" applyNumberFormat="1" applyFont="1" applyBorder="1" applyAlignment="1">
      <alignment horizontal="right"/>
    </xf>
    <xf numFmtId="58" fontId="1" fillId="0" borderId="0" xfId="56" applyNumberFormat="1" applyFont="1" applyAlignment="1">
      <alignment horizontal="right"/>
    </xf>
    <xf numFmtId="179" fontId="1" fillId="0" borderId="0" xfId="0" applyNumberFormat="1" applyFont="1"/>
    <xf numFmtId="180" fontId="5" fillId="0" borderId="1" xfId="1" applyNumberFormat="1" applyFont="1" applyBorder="1" applyAlignment="1">
      <alignment horizontal="center" vertical="center"/>
    </xf>
    <xf numFmtId="181" fontId="5" fillId="0" borderId="1" xfId="1" applyNumberFormat="1" applyFont="1" applyBorder="1" applyAlignment="1">
      <alignment horizontal="center" vertical="center"/>
    </xf>
    <xf numFmtId="3" fontId="0" fillId="0" borderId="0" xfId="0" applyNumberFormat="1"/>
    <xf numFmtId="182" fontId="6" fillId="0" borderId="0" xfId="52" applyNumberFormat="1" applyFont="1" applyBorder="1" applyAlignment="1">
      <alignment horizontal="center" vertical="center" wrapText="1"/>
    </xf>
    <xf numFmtId="1" fontId="5" fillId="0" borderId="0" xfId="3" applyNumberFormat="1" applyFont="1" applyBorder="1" applyAlignment="1">
      <alignment horizontal="center" vertical="center"/>
    </xf>
    <xf numFmtId="183" fontId="5" fillId="0" borderId="0" xfId="3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58" fontId="8" fillId="0" borderId="2" xfId="0" applyNumberFormat="1" applyFont="1" applyBorder="1" applyAlignment="1">
      <alignment horizontal="center" vertical="center"/>
    </xf>
    <xf numFmtId="1" fontId="8" fillId="0" borderId="3" xfId="3" applyNumberFormat="1" applyFont="1" applyBorder="1" applyAlignment="1">
      <alignment horizontal="center" vertical="center"/>
    </xf>
    <xf numFmtId="1" fontId="8" fillId="0" borderId="4" xfId="3" applyNumberFormat="1" applyFont="1" applyBorder="1" applyAlignment="1">
      <alignment horizontal="center" vertical="center"/>
    </xf>
    <xf numFmtId="2" fontId="0" fillId="0" borderId="4" xfId="0" applyNumberFormat="1" applyBorder="1"/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83" fontId="8" fillId="0" borderId="3" xfId="3" applyNumberFormat="1" applyFont="1" applyBorder="1" applyAlignment="1">
      <alignment horizontal="center" vertical="center"/>
    </xf>
    <xf numFmtId="183" fontId="8" fillId="0" borderId="4" xfId="3" applyNumberFormat="1" applyFont="1" applyBorder="1" applyAlignment="1">
      <alignment horizontal="center" vertical="center"/>
    </xf>
    <xf numFmtId="183" fontId="0" fillId="0" borderId="4" xfId="0" applyNumberFormat="1" applyBorder="1"/>
    <xf numFmtId="0" fontId="0" fillId="0" borderId="0" xfId="0" applyBorder="1"/>
    <xf numFmtId="10" fontId="8" fillId="0" borderId="3" xfId="3" applyNumberFormat="1" applyFont="1" applyBorder="1" applyAlignment="1">
      <alignment horizontal="center" vertical="center"/>
    </xf>
    <xf numFmtId="10" fontId="8" fillId="0" borderId="4" xfId="3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0" borderId="1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37" fontId="8" fillId="0" borderId="3" xfId="3" applyNumberFormat="1" applyFont="1" applyBorder="1" applyAlignment="1">
      <alignment vertical="center"/>
    </xf>
    <xf numFmtId="37" fontId="8" fillId="0" borderId="4" xfId="3" applyNumberFormat="1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2" fillId="0" borderId="0" xfId="0" applyFont="1" applyAlignment="1">
      <alignment horizontal="center"/>
    </xf>
    <xf numFmtId="10" fontId="5" fillId="0" borderId="0" xfId="0" applyNumberFormat="1" applyFont="1"/>
    <xf numFmtId="0" fontId="13" fillId="0" borderId="16" xfId="0" applyFont="1" applyBorder="1" applyAlignment="1">
      <alignment horizontal="center" vertical="center" wrapText="1" readingOrder="1"/>
    </xf>
    <xf numFmtId="0" fontId="13" fillId="0" borderId="17" xfId="0" applyFont="1" applyBorder="1" applyAlignment="1">
      <alignment horizontal="center" vertical="center" wrapText="1" readingOrder="1"/>
    </xf>
    <xf numFmtId="184" fontId="14" fillId="0" borderId="18" xfId="0" applyNumberFormat="1" applyFont="1" applyBorder="1" applyAlignment="1">
      <alignment horizontal="center" vertical="center"/>
    </xf>
    <xf numFmtId="10" fontId="14" fillId="0" borderId="18" xfId="3" applyNumberFormat="1" applyFont="1" applyBorder="1" applyAlignment="1">
      <alignment horizontal="center" vertical="center"/>
    </xf>
    <xf numFmtId="183" fontId="14" fillId="0" borderId="18" xfId="3" applyNumberFormat="1" applyFont="1" applyBorder="1" applyAlignment="1">
      <alignment horizontal="center" vertical="center"/>
    </xf>
    <xf numFmtId="1" fontId="14" fillId="0" borderId="18" xfId="3" applyNumberFormat="1" applyFont="1" applyBorder="1" applyAlignment="1">
      <alignment horizontal="center" vertical="center"/>
    </xf>
    <xf numFmtId="183" fontId="0" fillId="0" borderId="0" xfId="0" applyNumberFormat="1"/>
    <xf numFmtId="184" fontId="14" fillId="0" borderId="0" xfId="0" applyNumberFormat="1" applyFont="1" applyAlignment="1">
      <alignment horizontal="center" vertical="center"/>
    </xf>
    <xf numFmtId="10" fontId="14" fillId="0" borderId="0" xfId="3" applyNumberFormat="1" applyFont="1" applyBorder="1" applyAlignment="1">
      <alignment horizontal="center" vertical="center"/>
    </xf>
    <xf numFmtId="183" fontId="14" fillId="0" borderId="0" xfId="3" applyNumberFormat="1" applyFont="1" applyBorder="1" applyAlignment="1">
      <alignment horizontal="center" vertical="center"/>
    </xf>
    <xf numFmtId="1" fontId="14" fillId="0" borderId="0" xfId="3" applyNumberFormat="1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58" fontId="9" fillId="0" borderId="0" xfId="0" applyNumberFormat="1" applyFont="1" applyAlignment="1">
      <alignment horizontal="center" vertical="center"/>
    </xf>
    <xf numFmtId="0" fontId="0" fillId="3" borderId="0" xfId="0" applyFill="1"/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58" fontId="0" fillId="3" borderId="0" xfId="0" applyNumberFormat="1" applyFill="1"/>
    <xf numFmtId="183" fontId="9" fillId="0" borderId="0" xfId="0" applyNumberFormat="1" applyFont="1" applyAlignment="1">
      <alignment horizontal="center" vertical="center"/>
    </xf>
    <xf numFmtId="58" fontId="0" fillId="0" borderId="0" xfId="0" applyNumberFormat="1"/>
    <xf numFmtId="0" fontId="5" fillId="0" borderId="0" xfId="0" applyFont="1"/>
    <xf numFmtId="10" fontId="14" fillId="0" borderId="0" xfId="3" applyNumberFormat="1" applyFont="1" applyAlignment="1">
      <alignment horizontal="center" vertical="center"/>
    </xf>
    <xf numFmtId="183" fontId="14" fillId="0" borderId="0" xfId="3" applyNumberFormat="1" applyFont="1" applyAlignment="1">
      <alignment horizontal="center" vertical="center"/>
    </xf>
    <xf numFmtId="1" fontId="14" fillId="0" borderId="0" xfId="3" applyNumberFormat="1" applyFont="1" applyAlignment="1">
      <alignment horizontal="center" vertical="center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Comma 3 2" xfId="52"/>
    <cellStyle name="Comma 4" xfId="53"/>
    <cellStyle name="Normal 2" xfId="54"/>
    <cellStyle name="Normal 3 2" xfId="55"/>
    <cellStyle name="Normal 3 2 2" xfId="56"/>
    <cellStyle name="Percent 2" xfId="57"/>
    <cellStyle name="Percent 2 2" xfId="58"/>
    <cellStyle name="Percent 3" xfId="59"/>
  </cellStyles>
  <dxfs count="4">
    <dxf>
      <font>
        <name val="Calibri"/>
        <scheme val="none"/>
        <family val="2"/>
        <b val="0"/>
        <i val="0"/>
        <strike val="0"/>
        <u val="none"/>
        <sz val="12"/>
        <color auto="1"/>
      </font>
      <numFmt numFmtId="184" formatCode="[$-42C]d\ mmmm\ yyyy;@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2"/>
        <color auto="1"/>
      </font>
      <numFmt numFmtId="10" formatCode="0.00%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2"/>
        <color auto="1"/>
      </font>
      <numFmt numFmtId="183" formatCode="0.0"/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2"/>
        <color auto="1"/>
      </font>
      <numFmt numFmtId="1" formatCode="0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az-Latn-AZ" sz="1800" b="1">
                <a:solidFill>
                  <a:schemeClr val="tx1"/>
                </a:solidFill>
              </a:rPr>
              <a:t>AZIR*</a:t>
            </a:r>
            <a:r>
              <a:rPr lang="az-Latn-AZ" sz="1800" b="1" baseline="0">
                <a:solidFill>
                  <a:schemeClr val="tx1"/>
                </a:solidFill>
              </a:rPr>
              <a:t> indeksinin</a:t>
            </a:r>
            <a:r>
              <a:rPr lang="az-Latn-AZ" sz="1800" b="1">
                <a:solidFill>
                  <a:schemeClr val="tx1"/>
                </a:solidFill>
              </a:rPr>
              <a:t> </a:t>
            </a:r>
            <a:r>
              <a:rPr lang="en-US" sz="1800" b="1">
                <a:solidFill>
                  <a:schemeClr val="tx1"/>
                </a:solidFill>
              </a:rPr>
              <a:t>d</a:t>
            </a:r>
            <a:r>
              <a:rPr lang="az-Latn-AZ" sz="1800" b="1">
                <a:solidFill>
                  <a:schemeClr val="tx1"/>
                </a:solidFill>
              </a:rPr>
              <a:t>inamikası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8390526021527"/>
          <c:y val="0.0413470571265839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3696709273704"/>
          <c:y val="0.135666493249468"/>
          <c:w val="0.879073012088002"/>
          <c:h val="0.671269413890964"/>
        </c:manualLayout>
      </c:layout>
      <c:lineChart>
        <c:grouping val="standard"/>
        <c:varyColors val="0"/>
        <c:ser>
          <c:idx val="0"/>
          <c:order val="0"/>
          <c:tx>
            <c:strRef>
              <c:f>'AZIR website'!$B$21:$E$21</c:f>
              <c:strCache>
                <c:ptCount val="1"/>
                <c:pt idx="0">
                  <c:v>AZIR indeksi ilə bağlı məlumatlar</c:v>
                </c:pt>
              </c:strCache>
            </c:strRef>
          </c:tx>
          <c:spPr>
            <a:ln w="28575" cap="rnd">
              <a:solidFill>
                <a:srgbClr val="4DC2C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'AZIR website'!$B$191:$B$603</c:f>
              <c:numCache>
                <c:formatCode>[$-42C]d\ mmmm\ yyyy;@</c:formatCode>
                <c:ptCount val="413"/>
                <c:pt idx="0" c:formatCode="[$-42C]d\ mmmm\ yyyy;@">
                  <c:v>45290</c:v>
                </c:pt>
                <c:pt idx="1" c:formatCode="[$-42C]d\ mmmm\ yyyy;@">
                  <c:v>45298</c:v>
                </c:pt>
                <c:pt idx="2" c:formatCode="[$-42C]d\ mmmm\ yyyy;@">
                  <c:v>45299</c:v>
                </c:pt>
                <c:pt idx="3" c:formatCode="[$-42C]d\ mmmm\ yyyy;@">
                  <c:v>45300</c:v>
                </c:pt>
                <c:pt idx="4" c:formatCode="[$-42C]d\ mmmm\ yyyy;@">
                  <c:v>45301</c:v>
                </c:pt>
                <c:pt idx="5" c:formatCode="[$-42C]d\ mmmm\ yyyy;@">
                  <c:v>45302</c:v>
                </c:pt>
                <c:pt idx="6" c:formatCode="[$-42C]d\ mmmm\ yyyy;@">
                  <c:v>45303</c:v>
                </c:pt>
                <c:pt idx="7" c:formatCode="[$-42C]d\ mmmm\ yyyy;@">
                  <c:v>45306</c:v>
                </c:pt>
                <c:pt idx="8" c:formatCode="[$-42C]d\ mmmm\ yyyy;@">
                  <c:v>45307</c:v>
                </c:pt>
                <c:pt idx="9" c:formatCode="[$-42C]d\ mmmm\ yyyy;@">
                  <c:v>45308</c:v>
                </c:pt>
                <c:pt idx="10" c:formatCode="[$-42C]d\ mmmm\ yyyy;@">
                  <c:v>45309</c:v>
                </c:pt>
                <c:pt idx="11" c:formatCode="[$-42C]d\ mmmm\ yyyy;@">
                  <c:v>45310</c:v>
                </c:pt>
                <c:pt idx="12" c:formatCode="[$-42C]d\ mmmm\ yyyy;@">
                  <c:v>45313</c:v>
                </c:pt>
                <c:pt idx="13" c:formatCode="[$-42C]d\ mmmm\ yyyy;@">
                  <c:v>45314</c:v>
                </c:pt>
                <c:pt idx="14" c:formatCode="[$-42C]d\ mmmm\ yyyy;@">
                  <c:v>45315</c:v>
                </c:pt>
                <c:pt idx="15" c:formatCode="[$-42C]d\ mmmm\ yyyy;@">
                  <c:v>45316</c:v>
                </c:pt>
                <c:pt idx="16" c:formatCode="[$-42C]d\ mmmm\ yyyy;@">
                  <c:v>45317</c:v>
                </c:pt>
                <c:pt idx="17" c:formatCode="[$-42C]d\ mmmm\ yyyy;@">
                  <c:v>45320</c:v>
                </c:pt>
                <c:pt idx="18" c:formatCode="[$-42C]d\ mmmm\ yyyy;@">
                  <c:v>45321</c:v>
                </c:pt>
                <c:pt idx="19" c:formatCode="[$-42C]d\ mmmm\ yyyy;@">
                  <c:v>45322</c:v>
                </c:pt>
                <c:pt idx="20" c:formatCode="[$-42C]d\ mmmm\ yyyy;@">
                  <c:v>45323</c:v>
                </c:pt>
                <c:pt idx="21" c:formatCode="[$-42C]d\ mmmm\ yyyy;@">
                  <c:v>45324</c:v>
                </c:pt>
                <c:pt idx="22" c:formatCode="[$-42C]d\ mmmm\ yyyy;@">
                  <c:v>45327</c:v>
                </c:pt>
                <c:pt idx="23" c:formatCode="[$-42C]d\ mmmm\ yyyy;@">
                  <c:v>45328</c:v>
                </c:pt>
                <c:pt idx="24" c:formatCode="[$-42C]d\ mmmm\ yyyy;@">
                  <c:v>45330</c:v>
                </c:pt>
                <c:pt idx="25" c:formatCode="[$-42C]d\ mmmm\ yyyy;@">
                  <c:v>45331</c:v>
                </c:pt>
                <c:pt idx="26" c:formatCode="[$-42C]d\ mmmm\ yyyy;@">
                  <c:v>45334</c:v>
                </c:pt>
                <c:pt idx="27" c:formatCode="[$-42C]d\ mmmm\ yyyy;@">
                  <c:v>45335</c:v>
                </c:pt>
                <c:pt idx="28" c:formatCode="[$-42C]d\ mmmm\ yyyy;@">
                  <c:v>45336</c:v>
                </c:pt>
                <c:pt idx="29" c:formatCode="[$-42C]d\ mmmm\ yyyy;@">
                  <c:v>45337</c:v>
                </c:pt>
                <c:pt idx="30" c:formatCode="[$-42C]d\ mmmm\ yyyy;@">
                  <c:v>45338</c:v>
                </c:pt>
                <c:pt idx="31" c:formatCode="[$-42C]d\ mmmm\ yyyy;@">
                  <c:v>45341</c:v>
                </c:pt>
                <c:pt idx="32" c:formatCode="[$-42C]d\ mmmm\ yyyy;@">
                  <c:v>45342</c:v>
                </c:pt>
                <c:pt idx="33" c:formatCode="[$-42C]d\ mmmm\ yyyy;@">
                  <c:v>45343</c:v>
                </c:pt>
                <c:pt idx="34" c:formatCode="[$-42C]d\ mmmm\ yyyy;@">
                  <c:v>45344</c:v>
                </c:pt>
                <c:pt idx="35" c:formatCode="[$-42C]d\ mmmm\ yyyy;@">
                  <c:v>45345</c:v>
                </c:pt>
                <c:pt idx="36" c:formatCode="[$-42C]d\ mmmm\ yyyy;@">
                  <c:v>45348</c:v>
                </c:pt>
                <c:pt idx="37" c:formatCode="[$-42C]d\ mmmm\ yyyy;@">
                  <c:v>45349</c:v>
                </c:pt>
                <c:pt idx="38" c:formatCode="[$-42C]d\ mmmm\ yyyy;@">
                  <c:v>45350</c:v>
                </c:pt>
                <c:pt idx="39" c:formatCode="[$-42C]d\ mmmm\ yyyy;@">
                  <c:v>45351</c:v>
                </c:pt>
                <c:pt idx="40" c:formatCode="[$-42C]d\ mmmm\ yyyy;@">
                  <c:v>45352</c:v>
                </c:pt>
                <c:pt idx="41" c:formatCode="[$-42C]d\ mmmm\ yyyy;@">
                  <c:v>45355</c:v>
                </c:pt>
                <c:pt idx="42" c:formatCode="[$-42C]d\ mmmm\ yyyy;@">
                  <c:v>45356</c:v>
                </c:pt>
                <c:pt idx="43" c:formatCode="[$-42C]d\ mmmm\ yyyy;@">
                  <c:v>45357</c:v>
                </c:pt>
                <c:pt idx="44" c:formatCode="[$-42C]d\ mmmm\ yyyy;@">
                  <c:v>45358</c:v>
                </c:pt>
                <c:pt idx="45" c:formatCode="[$-42C]d\ mmmm\ yyyy;@">
                  <c:v>45362</c:v>
                </c:pt>
                <c:pt idx="46" c:formatCode="[$-42C]d\ mmmm\ yyyy;@">
                  <c:v>45363</c:v>
                </c:pt>
                <c:pt idx="47" c:formatCode="[$-42C]d\ mmmm\ yyyy;@">
                  <c:v>45364</c:v>
                </c:pt>
                <c:pt idx="48" c:formatCode="[$-42C]d\ mmmm\ yyyy;@">
                  <c:v>45365</c:v>
                </c:pt>
                <c:pt idx="49" c:formatCode="[$-42C]d\ mmmm\ yyyy;@">
                  <c:v>45366</c:v>
                </c:pt>
                <c:pt idx="50" c:formatCode="[$-42C]d\ mmmm\ yyyy;@">
                  <c:v>45369</c:v>
                </c:pt>
                <c:pt idx="51" c:formatCode="[$-42C]d\ mmmm\ yyyy;@">
                  <c:v>45370</c:v>
                </c:pt>
                <c:pt idx="52" c:formatCode="[$-42C]d\ mmmm\ yyyy;@">
                  <c:v>45378</c:v>
                </c:pt>
                <c:pt idx="53" c:formatCode="[$-42C]d\ mmmm\ yyyy;@">
                  <c:v>45379</c:v>
                </c:pt>
                <c:pt idx="54" c:formatCode="[$-42C]d\ mmmm\ yyyy;@">
                  <c:v>45380</c:v>
                </c:pt>
                <c:pt idx="55" c:formatCode="[$-42C]d\ mmmm\ yyyy;@">
                  <c:v>45383</c:v>
                </c:pt>
                <c:pt idx="56" c:formatCode="[$-42C]d\ mmmm\ yyyy;@">
                  <c:v>45384</c:v>
                </c:pt>
                <c:pt idx="57" c:formatCode="[$-42C]d\ mmmm\ yyyy;@">
                  <c:v>45385</c:v>
                </c:pt>
                <c:pt idx="58" c:formatCode="[$-42C]d\ mmmm\ yyyy;@">
                  <c:v>45386</c:v>
                </c:pt>
                <c:pt idx="59" c:formatCode="[$-42C]d\ mmmm\ yyyy;@">
                  <c:v>45387</c:v>
                </c:pt>
                <c:pt idx="60" c:formatCode="[$-42C]d\ mmmm\ yyyy;@">
                  <c:v>45388</c:v>
                </c:pt>
                <c:pt idx="61" c:formatCode="[$-42C]d\ mmmm\ yyyy;@">
                  <c:v>45390</c:v>
                </c:pt>
                <c:pt idx="62" c:formatCode="[$-42C]d\ mmmm\ yyyy;@">
                  <c:v>45391</c:v>
                </c:pt>
                <c:pt idx="63" c:formatCode="[$-42C]d\ mmmm\ yyyy;@">
                  <c:v>45397</c:v>
                </c:pt>
                <c:pt idx="64" c:formatCode="[$-42C]d\ mmmm\ yyyy;@">
                  <c:v>45398</c:v>
                </c:pt>
                <c:pt idx="65" c:formatCode="[$-42C]d\ mmmm\ yyyy;@">
                  <c:v>45399</c:v>
                </c:pt>
                <c:pt idx="66" c:formatCode="[$-42C]d\ mmmm\ yyyy;@">
                  <c:v>45400</c:v>
                </c:pt>
                <c:pt idx="67" c:formatCode="[$-42C]d\ mmmm\ yyyy;@">
                  <c:v>45401</c:v>
                </c:pt>
                <c:pt idx="68" c:formatCode="[$-42C]d\ mmmm\ yyyy;@">
                  <c:v>45404</c:v>
                </c:pt>
                <c:pt idx="69" c:formatCode="[$-42C]d\ mmmm\ yyyy;@">
                  <c:v>45405</c:v>
                </c:pt>
                <c:pt idx="70" c:formatCode="[$-42C]d\ mmmm\ yyyy;@">
                  <c:v>45406</c:v>
                </c:pt>
                <c:pt idx="71" c:formatCode="[$-42C]d\ mmmm\ yyyy;@">
                  <c:v>45407</c:v>
                </c:pt>
                <c:pt idx="72" c:formatCode="[$-42C]d\ mmmm\ yyyy;@">
                  <c:v>45408</c:v>
                </c:pt>
                <c:pt idx="73" c:formatCode="[$-42C]d\ mmmm\ yyyy;@">
                  <c:v>45411</c:v>
                </c:pt>
                <c:pt idx="74" c:formatCode="[$-42C]d\ mmmm\ yyyy;@">
                  <c:v>45412</c:v>
                </c:pt>
                <c:pt idx="75" c:formatCode="[$-42C]d\ mmmm\ yyyy;@">
                  <c:v>45413</c:v>
                </c:pt>
                <c:pt idx="76" c:formatCode="[$-42C]d\ mmmm\ yyyy;@">
                  <c:v>45414</c:v>
                </c:pt>
                <c:pt idx="77" c:formatCode="[$-42C]d\ mmmm\ yyyy;@">
                  <c:v>45415</c:v>
                </c:pt>
                <c:pt idx="78" c:formatCode="[$-42C]d\ mmmm\ yyyy;@">
                  <c:v>45418</c:v>
                </c:pt>
                <c:pt idx="79" c:formatCode="[$-42C]d\ mmmm\ yyyy;@">
                  <c:v>45419</c:v>
                </c:pt>
                <c:pt idx="80" c:formatCode="[$-42C]d\ mmmm\ yyyy;@">
                  <c:v>45420</c:v>
                </c:pt>
                <c:pt idx="81" c:formatCode="[$-42C]d\ mmmm\ yyyy;@">
                  <c:v>45422</c:v>
                </c:pt>
                <c:pt idx="82" c:formatCode="[$-42C]d\ mmmm\ yyyy;@">
                  <c:v>45425</c:v>
                </c:pt>
                <c:pt idx="83" c:formatCode="[$-42C]d\ mmmm\ yyyy;@">
                  <c:v>45426</c:v>
                </c:pt>
                <c:pt idx="84" c:formatCode="[$-42C]d\ mmmm\ yyyy;@">
                  <c:v>45427</c:v>
                </c:pt>
                <c:pt idx="85" c:formatCode="[$-42C]d\ mmmm\ yyyy;@">
                  <c:v>45428</c:v>
                </c:pt>
                <c:pt idx="86" c:formatCode="[$-42C]d\ mmmm\ yyyy;@">
                  <c:v>45429</c:v>
                </c:pt>
                <c:pt idx="87" c:formatCode="[$-42C]d\ mmmm\ yyyy;@">
                  <c:v>45432</c:v>
                </c:pt>
                <c:pt idx="88" c:formatCode="[$-42C]d\ mmmm\ yyyy;@">
                  <c:v>45433</c:v>
                </c:pt>
                <c:pt idx="89" c:formatCode="[$-42C]d\ mmmm\ yyyy;@">
                  <c:v>45434</c:v>
                </c:pt>
                <c:pt idx="90" c:formatCode="[$-42C]d\ mmmm\ yyyy;@">
                  <c:v>45435</c:v>
                </c:pt>
                <c:pt idx="91" c:formatCode="[$-42C]d\ mmmm\ yyyy;@">
                  <c:v>45436</c:v>
                </c:pt>
                <c:pt idx="92" c:formatCode="[$-42C]d\ mmmm\ yyyy;@">
                  <c:v>45439</c:v>
                </c:pt>
                <c:pt idx="93" c:formatCode="[$-42C]d\ mmmm\ yyyy;@">
                  <c:v>45441</c:v>
                </c:pt>
                <c:pt idx="94" c:formatCode="[$-42C]d\ mmmm\ yyyy;@">
                  <c:v>45442</c:v>
                </c:pt>
                <c:pt idx="95" c:formatCode="[$-42C]d\ mmmm\ yyyy;@">
                  <c:v>45443</c:v>
                </c:pt>
                <c:pt idx="96" c:formatCode="[$-42C]d\ mmmm\ yyyy;@">
                  <c:v>45446</c:v>
                </c:pt>
                <c:pt idx="97" c:formatCode="[$-42C]d\ mmmm\ yyyy;@">
                  <c:v>45447</c:v>
                </c:pt>
                <c:pt idx="98" c:formatCode="[$-42C]d\ mmmm\ yyyy;@">
                  <c:v>45448</c:v>
                </c:pt>
                <c:pt idx="99" c:formatCode="[$-42C]d\ mmmm\ yyyy;@">
                  <c:v>45449</c:v>
                </c:pt>
                <c:pt idx="100" c:formatCode="[$-42C]d\ mmmm\ yyyy;@">
                  <c:v>45450</c:v>
                </c:pt>
                <c:pt idx="101" c:formatCode="[$-42C]d\ mmmm\ yyyy;@">
                  <c:v>45453</c:v>
                </c:pt>
                <c:pt idx="102" c:formatCode="[$-42C]d\ mmmm\ yyyy;@">
                  <c:v>45454</c:v>
                </c:pt>
                <c:pt idx="103" c:formatCode="[$-42C]d\ mmmm\ yyyy;@">
                  <c:v>45455</c:v>
                </c:pt>
                <c:pt idx="104" c:formatCode="[$-42C]d\ mmmm\ yyyy;@">
                  <c:v>45456</c:v>
                </c:pt>
                <c:pt idx="105" c:formatCode="[$-42C]d\ mmmm\ yyyy;@">
                  <c:v>45457</c:v>
                </c:pt>
                <c:pt idx="106" c:formatCode="[$-42C]d\ mmmm\ yyyy;@">
                  <c:v>45463</c:v>
                </c:pt>
                <c:pt idx="107" c:formatCode="[$-42C]d\ mmmm\ yyyy;@">
                  <c:v>45464</c:v>
                </c:pt>
                <c:pt idx="108" c:formatCode="[$-42C]d\ mmmm\ yyyy;@">
                  <c:v>45467</c:v>
                </c:pt>
                <c:pt idx="109" c:formatCode="[$-42C]d\ mmmm\ yyyy;@">
                  <c:v>45468</c:v>
                </c:pt>
                <c:pt idx="110" c:formatCode="[$-42C]d\ mmmm\ yyyy;@">
                  <c:v>45470</c:v>
                </c:pt>
                <c:pt idx="111" c:formatCode="[$-42C]d\ mmmm\ yyyy;@">
                  <c:v>45471</c:v>
                </c:pt>
                <c:pt idx="112" c:formatCode="[$-42C]d\ mmmm\ yyyy;@">
                  <c:v>45474</c:v>
                </c:pt>
                <c:pt idx="113" c:formatCode="[$-42C]d\ mmmm\ yyyy;@">
                  <c:v>45475</c:v>
                </c:pt>
                <c:pt idx="114" c:formatCode="[$-42C]d\ mmmm\ yyyy;@">
                  <c:v>45476</c:v>
                </c:pt>
                <c:pt idx="115" c:formatCode="[$-42C]d\ mmmm\ yyyy;@">
                  <c:v>45477</c:v>
                </c:pt>
                <c:pt idx="116" c:formatCode="[$-42C]d\ mmmm\ yyyy;@">
                  <c:v>45478</c:v>
                </c:pt>
                <c:pt idx="117" c:formatCode="[$-42C]d\ mmmm\ yyyy;@">
                  <c:v>45481</c:v>
                </c:pt>
                <c:pt idx="118" c:formatCode="[$-42C]d\ mmmm\ yyyy;@">
                  <c:v>45482</c:v>
                </c:pt>
                <c:pt idx="119" c:formatCode="[$-42C]d\ mmmm\ yyyy;@">
                  <c:v>45483</c:v>
                </c:pt>
                <c:pt idx="120" c:formatCode="[$-42C]d\ mmmm\ yyyy;@">
                  <c:v>45484</c:v>
                </c:pt>
                <c:pt idx="121" c:formatCode="[$-42C]d\ mmmm\ yyyy;@">
                  <c:v>45485</c:v>
                </c:pt>
                <c:pt idx="122" c:formatCode="[$-42C]d\ mmmm\ yyyy;@">
                  <c:v>45488</c:v>
                </c:pt>
                <c:pt idx="123" c:formatCode="[$-42C]d\ mmmm\ yyyy;@">
                  <c:v>45489</c:v>
                </c:pt>
                <c:pt idx="124" c:formatCode="[$-42C]d\ mmmm\ yyyy;@">
                  <c:v>45490</c:v>
                </c:pt>
                <c:pt idx="125" c:formatCode="[$-42C]d\ mmmm\ yyyy;@">
                  <c:v>45491</c:v>
                </c:pt>
                <c:pt idx="126" c:formatCode="[$-42C]d\ mmmm\ yyyy;@">
                  <c:v>45492</c:v>
                </c:pt>
                <c:pt idx="127" c:formatCode="[$-42C]d\ mmmm\ yyyy;@">
                  <c:v>45495</c:v>
                </c:pt>
                <c:pt idx="128" c:formatCode="[$-42C]d\ mmmm\ yyyy;@">
                  <c:v>45496</c:v>
                </c:pt>
                <c:pt idx="129" c:formatCode="[$-42C]d\ mmmm\ yyyy;@">
                  <c:v>45497</c:v>
                </c:pt>
                <c:pt idx="130" c:formatCode="[$-42C]d\ mmmm\ yyyy;@">
                  <c:v>45498</c:v>
                </c:pt>
                <c:pt idx="131" c:formatCode="[$-42C]d\ mmmm\ yyyy;@">
                  <c:v>45499</c:v>
                </c:pt>
                <c:pt idx="132" c:formatCode="[$-42C]d\ mmmm\ yyyy;@">
                  <c:v>45502</c:v>
                </c:pt>
                <c:pt idx="133" c:formatCode="[$-42C]d\ mmmm\ yyyy;@">
                  <c:v>45503</c:v>
                </c:pt>
                <c:pt idx="134" c:formatCode="[$-42C]d\ mmmm\ yyyy;@">
                  <c:v>45504</c:v>
                </c:pt>
                <c:pt idx="135" c:formatCode="[$-42C]d\ mmmm\ yyyy;@">
                  <c:v>45505</c:v>
                </c:pt>
                <c:pt idx="136" c:formatCode="[$-42C]d\ mmmm\ yyyy;@">
                  <c:v>45506</c:v>
                </c:pt>
                <c:pt idx="137" c:formatCode="[$-42C]d\ mmmm\ yyyy;@">
                  <c:v>45509</c:v>
                </c:pt>
                <c:pt idx="138" c:formatCode="[$-42C]d\ mmmm\ yyyy;@">
                  <c:v>45510</c:v>
                </c:pt>
                <c:pt idx="139" c:formatCode="[$-42C]d\ mmmm\ yyyy;@">
                  <c:v>45511</c:v>
                </c:pt>
                <c:pt idx="140" c:formatCode="[$-42C]d\ mmmm\ yyyy;@">
                  <c:v>45512</c:v>
                </c:pt>
                <c:pt idx="141" c:formatCode="[$-42C]d\ mmmm\ yyyy;@">
                  <c:v>45513</c:v>
                </c:pt>
                <c:pt idx="142" c:formatCode="[$-42C]d\ mmmm\ yyyy;@">
                  <c:v>45516</c:v>
                </c:pt>
                <c:pt idx="143" c:formatCode="[$-42C]d\ mmmm\ yyyy;@">
                  <c:v>45517</c:v>
                </c:pt>
                <c:pt idx="144" c:formatCode="[$-42C]d\ mmmm\ yyyy;@">
                  <c:v>45518</c:v>
                </c:pt>
                <c:pt idx="145" c:formatCode="[$-42C]d\ mmmm\ yyyy;@">
                  <c:v>45519</c:v>
                </c:pt>
                <c:pt idx="146" c:formatCode="[$-42C]d\ mmmm\ yyyy;@">
                  <c:v>45520</c:v>
                </c:pt>
                <c:pt idx="147" c:formatCode="[$-42C]d\ mmmm\ yyyy;@">
                  <c:v>45523</c:v>
                </c:pt>
                <c:pt idx="148" c:formatCode="[$-42C]d\ mmmm\ yyyy;@">
                  <c:v>45524</c:v>
                </c:pt>
                <c:pt idx="149" c:formatCode="[$-42C]d\ mmmm\ yyyy;@">
                  <c:v>45525</c:v>
                </c:pt>
                <c:pt idx="150" c:formatCode="[$-42C]d\ mmmm\ yyyy;@">
                  <c:v>45526</c:v>
                </c:pt>
                <c:pt idx="151" c:formatCode="[$-42C]d\ mmmm\ yyyy;@">
                  <c:v>45527</c:v>
                </c:pt>
                <c:pt idx="152" c:formatCode="[$-42C]d\ mmmm\ yyyy;@">
                  <c:v>45530</c:v>
                </c:pt>
                <c:pt idx="153" c:formatCode="[$-42C]d\ mmmm\ yyyy;@">
                  <c:v>45531</c:v>
                </c:pt>
                <c:pt idx="154" c:formatCode="[$-42C]d\ mmmm\ yyyy;@">
                  <c:v>45532</c:v>
                </c:pt>
                <c:pt idx="155" c:formatCode="[$-42C]d\ mmmm\ yyyy;@">
                  <c:v>45533</c:v>
                </c:pt>
                <c:pt idx="156" c:formatCode="[$-42C]d\ mmmm\ yyyy;@">
                  <c:v>45534</c:v>
                </c:pt>
                <c:pt idx="157" c:formatCode="[$-42C]d\ mmmm\ yyyy;@">
                  <c:v>45537</c:v>
                </c:pt>
                <c:pt idx="158" c:formatCode="[$-42C]d\ mmmm\ yyyy;@">
                  <c:v>45538</c:v>
                </c:pt>
                <c:pt idx="159" c:formatCode="[$-42C]d\ mmmm\ yyyy;@">
                  <c:v>45539</c:v>
                </c:pt>
                <c:pt idx="160" c:formatCode="[$-42C]d\ mmmm\ yyyy;@">
                  <c:v>45540</c:v>
                </c:pt>
                <c:pt idx="161" c:formatCode="[$-42C]d\ mmmm\ yyyy;@">
                  <c:v>45541</c:v>
                </c:pt>
                <c:pt idx="162" c:formatCode="[$-42C]d\ mmmm\ yyyy;@">
                  <c:v>45544</c:v>
                </c:pt>
                <c:pt idx="163" c:formatCode="[$-42C]d\ mmmm\ yyyy;@">
                  <c:v>45545</c:v>
                </c:pt>
                <c:pt idx="164" c:formatCode="[$-42C]d\ mmmm\ yyyy;@">
                  <c:v>45546</c:v>
                </c:pt>
                <c:pt idx="165" c:formatCode="[$-42C]d\ mmmm\ yyyy;@">
                  <c:v>45547</c:v>
                </c:pt>
                <c:pt idx="166" c:formatCode="[$-42C]d\ mmmm\ yyyy;@">
                  <c:v>45548</c:v>
                </c:pt>
                <c:pt idx="167" c:formatCode="[$-42C]d\ mmmm\ yyyy;@">
                  <c:v>45551</c:v>
                </c:pt>
                <c:pt idx="168" c:formatCode="[$-42C]d\ mmmm\ yyyy;@">
                  <c:v>45552</c:v>
                </c:pt>
                <c:pt idx="169" c:formatCode="[$-42C]d\ mmmm\ yyyy;@">
                  <c:v>45553</c:v>
                </c:pt>
                <c:pt idx="170" c:formatCode="[$-42C]d\ mmmm\ yyyy;@">
                  <c:v>45554</c:v>
                </c:pt>
                <c:pt idx="171" c:formatCode="[$-42C]d\ mmmm\ yyyy;@">
                  <c:v>45555</c:v>
                </c:pt>
                <c:pt idx="172" c:formatCode="[$-42C]d\ mmmm\ yyyy;@">
                  <c:v>45558</c:v>
                </c:pt>
                <c:pt idx="173" c:formatCode="[$-42C]d\ mmmm\ yyyy;@">
                  <c:v>45559</c:v>
                </c:pt>
                <c:pt idx="174" c:formatCode="[$-42C]d\ mmmm\ yyyy;@">
                  <c:v>45560</c:v>
                </c:pt>
                <c:pt idx="175" c:formatCode="[$-42C]d\ mmmm\ yyyy;@">
                  <c:v>45561</c:v>
                </c:pt>
                <c:pt idx="176" c:formatCode="[$-42C]d\ mmmm\ yyyy;@">
                  <c:v>45562</c:v>
                </c:pt>
                <c:pt idx="177" c:formatCode="[$-42C]d\ mmmm\ yyyy;@">
                  <c:v>45565</c:v>
                </c:pt>
                <c:pt idx="178" c:formatCode="[$-42C]d\ mmmm\ yyyy;@">
                  <c:v>45566</c:v>
                </c:pt>
                <c:pt idx="179" c:formatCode="[$-42C]d\ mmmm\ yyyy;@">
                  <c:v>45567</c:v>
                </c:pt>
                <c:pt idx="180" c:formatCode="[$-42C]d\ mmmm\ yyyy;@">
                  <c:v>45568</c:v>
                </c:pt>
                <c:pt idx="181" c:formatCode="[$-42C]d\ mmmm\ yyyy;@">
                  <c:v>45569</c:v>
                </c:pt>
                <c:pt idx="182" c:formatCode="[$-42C]d\ mmmm\ yyyy;@">
                  <c:v>45572</c:v>
                </c:pt>
                <c:pt idx="183" c:formatCode="[$-42C]d\ mmmm\ yyyy;@">
                  <c:v>45573</c:v>
                </c:pt>
                <c:pt idx="184" c:formatCode="[$-42C]d\ mmmm\ yyyy;@">
                  <c:v>45574</c:v>
                </c:pt>
                <c:pt idx="185" c:formatCode="[$-42C]d\ mmmm\ yyyy;@">
                  <c:v>45575</c:v>
                </c:pt>
                <c:pt idx="186" c:formatCode="[$-42C]d\ mmmm\ yyyy;@">
                  <c:v>45576</c:v>
                </c:pt>
                <c:pt idx="187" c:formatCode="[$-42C]d\ mmmm\ yyyy;@">
                  <c:v>45579</c:v>
                </c:pt>
                <c:pt idx="188" c:formatCode="[$-42C]d\ mmmm\ yyyy;@">
                  <c:v>45580</c:v>
                </c:pt>
                <c:pt idx="189" c:formatCode="[$-42C]d\ mmmm\ yyyy;@">
                  <c:v>45581</c:v>
                </c:pt>
                <c:pt idx="190" c:formatCode="[$-42C]d\ mmmm\ yyyy;@">
                  <c:v>45582</c:v>
                </c:pt>
                <c:pt idx="191" c:formatCode="[$-42C]d\ mmmm\ yyyy;@">
                  <c:v>45583</c:v>
                </c:pt>
                <c:pt idx="192" c:formatCode="[$-42C]d\ mmmm\ yyyy;@">
                  <c:v>45586</c:v>
                </c:pt>
                <c:pt idx="193" c:formatCode="[$-42C]d\ mmmm\ yyyy;@">
                  <c:v>45587</c:v>
                </c:pt>
                <c:pt idx="194" c:formatCode="[$-42C]d\ mmmm\ yyyy;@">
                  <c:v>45588</c:v>
                </c:pt>
                <c:pt idx="195" c:formatCode="[$-42C]d\ mmmm\ yyyy;@">
                  <c:v>45589</c:v>
                </c:pt>
                <c:pt idx="196" c:formatCode="[$-42C]d\ mmmm\ yyyy;@">
                  <c:v>45590</c:v>
                </c:pt>
                <c:pt idx="197" c:formatCode="[$-42C]d\ mmmm\ yyyy;@">
                  <c:v>45593</c:v>
                </c:pt>
                <c:pt idx="198" c:formatCode="[$-42C]d\ mmmm\ yyyy;@">
                  <c:v>45594</c:v>
                </c:pt>
                <c:pt idx="199" c:formatCode="[$-42C]d\ mmmm\ yyyy;@">
                  <c:v>45595</c:v>
                </c:pt>
                <c:pt idx="200" c:formatCode="[$-42C]d\ mmmm\ yyyy;@">
                  <c:v>45596</c:v>
                </c:pt>
                <c:pt idx="201" c:formatCode="[$-42C]d\ mmmm\ yyyy;@">
                  <c:v>45597</c:v>
                </c:pt>
                <c:pt idx="202" c:formatCode="[$-42C]d\ mmmm\ yyyy;@">
                  <c:v>45600</c:v>
                </c:pt>
                <c:pt idx="203" c:formatCode="[$-42C]d\ mmmm\ yyyy;@">
                  <c:v>45601</c:v>
                </c:pt>
                <c:pt idx="204" c:formatCode="[$-42C]d\ mmmm\ yyyy;@">
                  <c:v>45602</c:v>
                </c:pt>
                <c:pt idx="205" c:formatCode="[$-42C]d\ mmmm\ yyyy;@">
                  <c:v>45603</c:v>
                </c:pt>
                <c:pt idx="206" c:formatCode="[$-42C]d\ mmmm\ yyyy;@">
                  <c:v>45610</c:v>
                </c:pt>
                <c:pt idx="207" c:formatCode="[$-42C]d\ mmmm\ yyyy;@">
                  <c:v>45611</c:v>
                </c:pt>
                <c:pt idx="208" c:formatCode="[$-42C]d\ mmmm\ yyyy;@">
                  <c:v>45612</c:v>
                </c:pt>
                <c:pt idx="209" c:formatCode="[$-42C]d\ mmmm\ yyyy;@">
                  <c:v>45614</c:v>
                </c:pt>
                <c:pt idx="210" c:formatCode="[$-42C]d\ mmmm\ yyyy;@">
                  <c:v>45615</c:v>
                </c:pt>
                <c:pt idx="211" c:formatCode="[$-42C]d\ mmmm\ yyyy;@">
                  <c:v>45616</c:v>
                </c:pt>
                <c:pt idx="212" c:formatCode="[$-42C]d\ mmmm\ yyyy;@">
                  <c:v>45617</c:v>
                </c:pt>
                <c:pt idx="213" c:formatCode="[$-42C]d\ mmmm\ yyyy;@">
                  <c:v>45618</c:v>
                </c:pt>
                <c:pt idx="214" c:formatCode="[$-42C]d\ mmmm\ yyyy;@">
                  <c:v>45619</c:v>
                </c:pt>
                <c:pt idx="215" c:formatCode="[$-42C]d\ mmmm\ yyyy;@">
                  <c:v>45621</c:v>
                </c:pt>
                <c:pt idx="216" c:formatCode="[$-42C]d\ mmmm\ yyyy;@">
                  <c:v>45622</c:v>
                </c:pt>
                <c:pt idx="217" c:formatCode="[$-42C]d\ mmmm\ yyyy;@">
                  <c:v>45623</c:v>
                </c:pt>
                <c:pt idx="218" c:formatCode="[$-42C]d\ mmmm\ yyyy;@">
                  <c:v>45624</c:v>
                </c:pt>
                <c:pt idx="219" c:formatCode="[$-42C]d\ mmmm\ yyyy;@">
                  <c:v>45625</c:v>
                </c:pt>
                <c:pt idx="220" c:formatCode="[$-42C]d\ mmmm\ yyyy;@">
                  <c:v>45628</c:v>
                </c:pt>
                <c:pt idx="221" c:formatCode="[$-42C]d\ mmmm\ yyyy;@">
                  <c:v>45629</c:v>
                </c:pt>
                <c:pt idx="222" c:formatCode="[$-42C]d\ mmmm\ yyyy;@">
                  <c:v>45630</c:v>
                </c:pt>
                <c:pt idx="223" c:formatCode="[$-42C]d\ mmmm\ yyyy;@">
                  <c:v>45631</c:v>
                </c:pt>
                <c:pt idx="224" c:formatCode="[$-42C]d\ mmmm\ yyyy;@">
                  <c:v>45632</c:v>
                </c:pt>
                <c:pt idx="225" c:formatCode="[$-42C]d\ mmmm\ yyyy;@">
                  <c:v>45635</c:v>
                </c:pt>
                <c:pt idx="226" c:formatCode="[$-42C]d\ mmmm\ yyyy;@">
                  <c:v>45636</c:v>
                </c:pt>
                <c:pt idx="227" c:formatCode="[$-42C]d\ mmmm\ yyyy;@">
                  <c:v>45637</c:v>
                </c:pt>
                <c:pt idx="228" c:formatCode="[$-42C]d\ mmmm\ yyyy;@">
                  <c:v>45638</c:v>
                </c:pt>
                <c:pt idx="229" c:formatCode="[$-42C]d\ mmmm\ yyyy;@">
                  <c:v>45639</c:v>
                </c:pt>
                <c:pt idx="230" c:formatCode="[$-42C]d\ mmmm\ yyyy;@">
                  <c:v>45642</c:v>
                </c:pt>
                <c:pt idx="231" c:formatCode="[$-42C]d\ mmmm\ yyyy;@">
                  <c:v>45643</c:v>
                </c:pt>
                <c:pt idx="232" c:formatCode="[$-42C]d\ mmmm\ yyyy;@">
                  <c:v>45644</c:v>
                </c:pt>
                <c:pt idx="233" c:formatCode="[$-42C]d\ mmmm\ yyyy;@">
                  <c:v>45645</c:v>
                </c:pt>
                <c:pt idx="234" c:formatCode="[$-42C]d\ mmmm\ yyyy;@">
                  <c:v>45646</c:v>
                </c:pt>
                <c:pt idx="235" c:formatCode="[$-42C]d\ mmmm\ yyyy;@">
                  <c:v>45649</c:v>
                </c:pt>
                <c:pt idx="236" c:formatCode="[$-42C]d\ mmmm\ yyyy;@">
                  <c:v>45650</c:v>
                </c:pt>
                <c:pt idx="237" c:formatCode="[$-42C]d\ mmmm\ yyyy;@">
                  <c:v>45651</c:v>
                </c:pt>
                <c:pt idx="238" c:formatCode="[$-42C]d\ mmmm\ yyyy;@">
                  <c:v>45652</c:v>
                </c:pt>
                <c:pt idx="239" c:formatCode="[$-42C]d\ mmmm\ yyyy;@">
                  <c:v>45653</c:v>
                </c:pt>
                <c:pt idx="240" c:formatCode="[$-42C]d\ mmmm\ yyyy;@">
                  <c:v>45654</c:v>
                </c:pt>
                <c:pt idx="241" c:formatCode="[$-42C]d\ mmmm\ yyyy;@">
                  <c:v>45655</c:v>
                </c:pt>
                <c:pt idx="242" c:formatCode="[$-42C]d\ mmmm\ yyyy;@">
                  <c:v>45663</c:v>
                </c:pt>
                <c:pt idx="243" c:formatCode="[$-42C]d\ mmmm\ yyyy;@">
                  <c:v>45664</c:v>
                </c:pt>
                <c:pt idx="244" c:formatCode="[$-42C]d\ mmmm\ yyyy;@">
                  <c:v>45665</c:v>
                </c:pt>
                <c:pt idx="245" c:formatCode="[$-42C]d\ mmmm\ yyyy;@">
                  <c:v>45666</c:v>
                </c:pt>
                <c:pt idx="246" c:formatCode="[$-42C]d\ mmmm\ yyyy;@">
                  <c:v>45667</c:v>
                </c:pt>
                <c:pt idx="247" c:formatCode="[$-42C]d\ mmmm\ yyyy;@">
                  <c:v>45670</c:v>
                </c:pt>
                <c:pt idx="248" c:formatCode="[$-42C]d\ mmmm\ yyyy;@">
                  <c:v>45671</c:v>
                </c:pt>
                <c:pt idx="249" c:formatCode="[$-42C]d\ mmmm\ yyyy;@">
                  <c:v>45672</c:v>
                </c:pt>
                <c:pt idx="250" c:formatCode="[$-42C]d\ mmmm\ yyyy;@">
                  <c:v>45673</c:v>
                </c:pt>
                <c:pt idx="251" c:formatCode="[$-42C]d\ mmmm\ yyyy;@">
                  <c:v>45674</c:v>
                </c:pt>
                <c:pt idx="252" c:formatCode="[$-42C]d\ mmmm\ yyyy;@">
                  <c:v>45678</c:v>
                </c:pt>
                <c:pt idx="253" c:formatCode="[$-42C]d\ mmmm\ yyyy;@">
                  <c:v>45679</c:v>
                </c:pt>
                <c:pt idx="254" c:formatCode="[$-42C]d\ mmmm\ yyyy;@">
                  <c:v>45680</c:v>
                </c:pt>
                <c:pt idx="255" c:formatCode="[$-42C]d\ mmmm\ yyyy;@">
                  <c:v>45681</c:v>
                </c:pt>
                <c:pt idx="256" c:formatCode="[$-42C]d\ mmmm\ yyyy;@">
                  <c:v>45684</c:v>
                </c:pt>
                <c:pt idx="257" c:formatCode="[$-42C]d\ mmmm\ yyyy;@">
                  <c:v>45685</c:v>
                </c:pt>
                <c:pt idx="258" c:formatCode="[$-42C]d\ mmmm\ yyyy;@">
                  <c:v>45687</c:v>
                </c:pt>
                <c:pt idx="259" c:formatCode="[$-42C]d\ mmmm\ yyyy;@">
                  <c:v>45688</c:v>
                </c:pt>
                <c:pt idx="260" c:formatCode="[$-42C]d\ mmmm\ yyyy;@">
                  <c:v>45691</c:v>
                </c:pt>
                <c:pt idx="261" c:formatCode="[$-42C]d\ mmmm\ yyyy;@">
                  <c:v>45692</c:v>
                </c:pt>
                <c:pt idx="262" c:formatCode="[$-42C]d\ mmmm\ yyyy;@">
                  <c:v>45693</c:v>
                </c:pt>
                <c:pt idx="263" c:formatCode="[$-42C]d\ mmmm\ yyyy;@">
                  <c:v>45694</c:v>
                </c:pt>
                <c:pt idx="264" c:formatCode="[$-42C]d\ mmmm\ yyyy;@">
                  <c:v>45695</c:v>
                </c:pt>
                <c:pt idx="265" c:formatCode="[$-42C]d\ mmmm\ yyyy;@">
                  <c:v>45698</c:v>
                </c:pt>
                <c:pt idx="266" c:formatCode="[$-42C]d\ mmmm\ yyyy;@">
                  <c:v>45699</c:v>
                </c:pt>
                <c:pt idx="267" c:formatCode="[$-42C]d\ mmmm\ yyyy;@">
                  <c:v>45700</c:v>
                </c:pt>
                <c:pt idx="268" c:formatCode="[$-42C]d\ mmmm\ yyyy;@">
                  <c:v>45701</c:v>
                </c:pt>
                <c:pt idx="269" c:formatCode="[$-42C]d\ mmmm\ yyyy;@">
                  <c:v>45702</c:v>
                </c:pt>
                <c:pt idx="270" c:formatCode="[$-42C]d\ mmmm\ yyyy;@">
                  <c:v>45705</c:v>
                </c:pt>
                <c:pt idx="271" c:formatCode="[$-42C]d\ mmmm\ yyyy;@">
                  <c:v>45706</c:v>
                </c:pt>
                <c:pt idx="272" c:formatCode="[$-42C]d\ mmmm\ yyyy;@">
                  <c:v>45707</c:v>
                </c:pt>
                <c:pt idx="273" c:formatCode="[$-42C]d\ mmmm\ yyyy;@">
                  <c:v>45708</c:v>
                </c:pt>
                <c:pt idx="274" c:formatCode="[$-42C]d\ mmmm\ yyyy;@">
                  <c:v>45709</c:v>
                </c:pt>
                <c:pt idx="275" c:formatCode="[$-42C]d\ mmmm\ yyyy;@">
                  <c:v>45712</c:v>
                </c:pt>
                <c:pt idx="276" c:formatCode="[$-42C]d\ mmmm\ yyyy;@">
                  <c:v>45713</c:v>
                </c:pt>
                <c:pt idx="277" c:formatCode="[$-42C]d\ mmmm\ yyyy;@">
                  <c:v>45714</c:v>
                </c:pt>
                <c:pt idx="278" c:formatCode="[$-42C]d\ mmmm\ yyyy;@">
                  <c:v>45715</c:v>
                </c:pt>
                <c:pt idx="279" c:formatCode="[$-42C]d\ mmmm\ yyyy;@">
                  <c:v>45716</c:v>
                </c:pt>
                <c:pt idx="280" c:formatCode="[$-42C]d\ mmmm\ yyyy;@">
                  <c:v>45719</c:v>
                </c:pt>
                <c:pt idx="281" c:formatCode="[$-42C]d\ mmmm\ yyyy;@">
                  <c:v>45720</c:v>
                </c:pt>
                <c:pt idx="282" c:formatCode="[$-42C]d\ mmmm\ yyyy;@">
                  <c:v>45721</c:v>
                </c:pt>
                <c:pt idx="283" c:formatCode="[$-42C]d\ mmmm\ yyyy;@">
                  <c:v>45722</c:v>
                </c:pt>
                <c:pt idx="284" c:formatCode="[$-42C]d\ mmmm\ yyyy;@">
                  <c:v>45723</c:v>
                </c:pt>
                <c:pt idx="285" c:formatCode="[$-42C]d\ mmmm\ yyyy;@">
                  <c:v>45726</c:v>
                </c:pt>
                <c:pt idx="286" c:formatCode="[$-42C]d\ mmmm\ yyyy;@">
                  <c:v>45727</c:v>
                </c:pt>
                <c:pt idx="287" c:formatCode="[$-42C]d\ mmmm\ yyyy;@">
                  <c:v>45728</c:v>
                </c:pt>
                <c:pt idx="288" c:formatCode="[$-42C]d\ mmmm\ yyyy;@">
                  <c:v>45729</c:v>
                </c:pt>
                <c:pt idx="289" c:formatCode="[$-42C]d\ mmmm\ yyyy;@">
                  <c:v>45730</c:v>
                </c:pt>
                <c:pt idx="290" c:formatCode="[$-42C]d\ mmmm\ yyyy;@">
                  <c:v>45733</c:v>
                </c:pt>
                <c:pt idx="291" c:formatCode="[$-42C]d\ mmmm\ yyyy;@">
                  <c:v>45734</c:v>
                </c:pt>
                <c:pt idx="292" c:formatCode="[$-42C]d\ mmmm\ yyyy;@">
                  <c:v>45735</c:v>
                </c:pt>
                <c:pt idx="293" c:formatCode="[$-42C]d\ mmmm\ yyyy;@">
                  <c:v>45748</c:v>
                </c:pt>
                <c:pt idx="294" c:formatCode="[$-42C]d\ mmmm\ yyyy;@">
                  <c:v>45749</c:v>
                </c:pt>
                <c:pt idx="295" c:formatCode="[$-42C]d\ mmmm\ yyyy;@">
                  <c:v>45750</c:v>
                </c:pt>
                <c:pt idx="296" c:formatCode="[$-42C]d\ mmmm\ yyyy;@">
                  <c:v>45751</c:v>
                </c:pt>
                <c:pt idx="297" c:formatCode="[$-42C]d\ mmmm\ yyyy;@">
                  <c:v>45754</c:v>
                </c:pt>
                <c:pt idx="298" c:formatCode="[$-42C]d\ mmmm\ yyyy;@">
                  <c:v>45755</c:v>
                </c:pt>
                <c:pt idx="299" c:formatCode="[$-42C]d\ mmmm\ yyyy;@">
                  <c:v>45756</c:v>
                </c:pt>
                <c:pt idx="300" c:formatCode="[$-42C]d\ mmmm\ yyyy;@">
                  <c:v>45757</c:v>
                </c:pt>
                <c:pt idx="301" c:formatCode="[$-42C]d\ mmmm\ yyyy;@">
                  <c:v>45758</c:v>
                </c:pt>
                <c:pt idx="302" c:formatCode="[$-42C]d\ mmmm\ yyyy;@">
                  <c:v>45761</c:v>
                </c:pt>
                <c:pt idx="303" c:formatCode="[$-42C]d\ mmmm\ yyyy;@">
                  <c:v>45762</c:v>
                </c:pt>
                <c:pt idx="304" c:formatCode="[$-42C]d\ mmmm\ yyyy;@">
                  <c:v>45763</c:v>
                </c:pt>
                <c:pt idx="305" c:formatCode="[$-42C]d\ mmmm\ yyyy;@">
                  <c:v>45764</c:v>
                </c:pt>
                <c:pt idx="306" c:formatCode="[$-42C]d\ mmmm\ yyyy;@">
                  <c:v>45765</c:v>
                </c:pt>
                <c:pt idx="307" c:formatCode="[$-42C]d\ mmmm\ yyyy;@">
                  <c:v>45768</c:v>
                </c:pt>
                <c:pt idx="308" c:formatCode="[$-42C]d\ mmmm\ yyyy;@">
                  <c:v>45769</c:v>
                </c:pt>
                <c:pt idx="309" c:formatCode="[$-42C]d\ mmmm\ yyyy;@">
                  <c:v>45770</c:v>
                </c:pt>
                <c:pt idx="310" c:formatCode="[$-42C]d\ mmmm\ yyyy;@">
                  <c:v>45771</c:v>
                </c:pt>
                <c:pt idx="311" c:formatCode="[$-42C]d\ mmmm\ yyyy;@">
                  <c:v>45772</c:v>
                </c:pt>
                <c:pt idx="312" c:formatCode="[$-42C]d\ mmmm\ yyyy;@">
                  <c:v>45775</c:v>
                </c:pt>
                <c:pt idx="313" c:formatCode="[$-42C]d\ mmmm\ yyyy;@">
                  <c:v>45776</c:v>
                </c:pt>
                <c:pt idx="314" c:formatCode="[$-42C]d\ mmmm\ yyyy;@">
                  <c:v>45777</c:v>
                </c:pt>
                <c:pt idx="315" c:formatCode="[$-42C]d\ mmmm\ yyyy;@">
                  <c:v>45778</c:v>
                </c:pt>
                <c:pt idx="316" c:formatCode="[$-42C]d\ mmmm\ yyyy;@">
                  <c:v>45779</c:v>
                </c:pt>
                <c:pt idx="317" c:formatCode="[$-42C]d\ mmmm\ yyyy;@">
                  <c:v>45782</c:v>
                </c:pt>
                <c:pt idx="318" c:formatCode="[$-42C]d\ mmmm\ yyyy;@">
                  <c:v>45783</c:v>
                </c:pt>
                <c:pt idx="319" c:formatCode="[$-42C]d\ mmmm\ yyyy;@">
                  <c:v>45784</c:v>
                </c:pt>
                <c:pt idx="320" c:formatCode="[$-42C]d\ mmmm\ yyyy;@">
                  <c:v>45785</c:v>
                </c:pt>
                <c:pt idx="321" c:formatCode="[$-42C]d\ mmmm\ yyyy;@">
                  <c:v>45789</c:v>
                </c:pt>
                <c:pt idx="322" c:formatCode="[$-42C]d\ mmmm\ yyyy;@">
                  <c:v>45790</c:v>
                </c:pt>
                <c:pt idx="323" c:formatCode="[$-42C]d\ mmmm\ yyyy;@">
                  <c:v>45791</c:v>
                </c:pt>
                <c:pt idx="324" c:formatCode="[$-42C]d\ mmmm\ yyyy;@">
                  <c:v>45792</c:v>
                </c:pt>
                <c:pt idx="325" c:formatCode="[$-42C]d\ mmmm\ yyyy;@">
                  <c:v>45793</c:v>
                </c:pt>
                <c:pt idx="326" c:formatCode="[$-42C]d\ mmmm\ yyyy;@">
                  <c:v>45796</c:v>
                </c:pt>
                <c:pt idx="327" c:formatCode="[$-42C]d\ mmmm\ yyyy;@">
                  <c:v>45797</c:v>
                </c:pt>
                <c:pt idx="328" c:formatCode="[$-42C]d\ mmmm\ yyyy;@">
                  <c:v>45798</c:v>
                </c:pt>
                <c:pt idx="329" c:formatCode="[$-42C]d\ mmmm\ yyyy;@">
                  <c:v>45799</c:v>
                </c:pt>
                <c:pt idx="330" c:formatCode="[$-42C]d\ mmmm\ yyyy;@">
                  <c:v>45800</c:v>
                </c:pt>
                <c:pt idx="331" c:formatCode="[$-42C]d\ mmmm\ yyyy;@">
                  <c:v>45803</c:v>
                </c:pt>
                <c:pt idx="332" c:formatCode="[$-42C]d\ mmmm\ yyyy;@">
                  <c:v>45804</c:v>
                </c:pt>
                <c:pt idx="333" c:formatCode="[$-42C]d\ mmmm\ yyyy;@">
                  <c:v>45806</c:v>
                </c:pt>
                <c:pt idx="334" c:formatCode="[$-42C]d\ mmmm\ yyyy;@">
                  <c:v>45807</c:v>
                </c:pt>
                <c:pt idx="335" c:formatCode="[$-42C]d\ mmmm\ yyyy;@">
                  <c:v>45810</c:v>
                </c:pt>
                <c:pt idx="336" c:formatCode="[$-42C]d\ mmmm\ yyyy;@">
                  <c:v>45811</c:v>
                </c:pt>
                <c:pt idx="337" c:formatCode="[$-42C]d\ mmmm\ yyyy;@">
                  <c:v>45812</c:v>
                </c:pt>
                <c:pt idx="338" c:formatCode="[$-42C]d\ mmmm\ yyyy;@">
                  <c:v>45813</c:v>
                </c:pt>
                <c:pt idx="339" c:formatCode="[$-42C]d\ mmmm\ yyyy;@">
                  <c:v>45818</c:v>
                </c:pt>
                <c:pt idx="340" c:formatCode="[$-42C]d\ mmmm\ yyyy;@">
                  <c:v>45819</c:v>
                </c:pt>
                <c:pt idx="341" c:formatCode="[$-42C]d\ mmmm\ yyyy;@">
                  <c:v>45820</c:v>
                </c:pt>
                <c:pt idx="342" c:formatCode="[$-42C]d\ mmmm\ yyyy;@">
                  <c:v>45821</c:v>
                </c:pt>
                <c:pt idx="343" c:formatCode="[$-42C]d\ mmmm\ yyyy;@">
                  <c:v>45825</c:v>
                </c:pt>
                <c:pt idx="344" c:formatCode="[$-42C]d\ mmmm\ yyyy;@">
                  <c:v>45826</c:v>
                </c:pt>
                <c:pt idx="345" c:formatCode="[$-42C]d\ mmmm\ yyyy;@">
                  <c:v>45827</c:v>
                </c:pt>
                <c:pt idx="346" c:formatCode="[$-42C]d\ mmmm\ yyyy;@">
                  <c:v>45828</c:v>
                </c:pt>
                <c:pt idx="347" c:formatCode="[$-42C]d\ mmmm\ yyyy;@">
                  <c:v>45829</c:v>
                </c:pt>
                <c:pt idx="348" c:formatCode="[$-42C]d\ mmmm\ yyyy;@">
                  <c:v>45831</c:v>
                </c:pt>
                <c:pt idx="349" c:formatCode="[$-42C]d\ mmmm\ yyyy;@">
                  <c:v>45832</c:v>
                </c:pt>
                <c:pt idx="350" c:formatCode="[$-42C]d\ mmmm\ yyyy;@">
                  <c:v>45833</c:v>
                </c:pt>
                <c:pt idx="351" c:formatCode="[$-42C]d\ mmmm\ yyyy;@">
                  <c:v>45838</c:v>
                </c:pt>
                <c:pt idx="352" c:formatCode="[$-42C]d\ mmmm\ yyyy;@">
                  <c:v>45839</c:v>
                </c:pt>
                <c:pt idx="353" c:formatCode="[$-42C]d\ mmmm\ yyyy;@">
                  <c:v>45840</c:v>
                </c:pt>
                <c:pt idx="354" c:formatCode="[$-42C]d\ mmmm\ yyyy;@">
                  <c:v>45841</c:v>
                </c:pt>
                <c:pt idx="355" c:formatCode="[$-42C]d\ mmmm\ yyyy;@">
                  <c:v>45842</c:v>
                </c:pt>
                <c:pt idx="356" c:formatCode="[$-42C]d\ mmmm\ yyyy;@">
                  <c:v>45845</c:v>
                </c:pt>
                <c:pt idx="357" c:formatCode="[$-42C]d\ mmmm\ yyyy;@">
                  <c:v>45846</c:v>
                </c:pt>
                <c:pt idx="358" c:formatCode="[$-42C]d\ mmmm\ yyyy;@">
                  <c:v>45847</c:v>
                </c:pt>
                <c:pt idx="359" c:formatCode="[$-42C]d\ mmmm\ yyyy;@">
                  <c:v>45848</c:v>
                </c:pt>
                <c:pt idx="360" c:formatCode="[$-42C]d\ mmmm\ yyyy;@">
                  <c:v>45849</c:v>
                </c:pt>
                <c:pt idx="361" c:formatCode="[$-42C]d\ mmmm\ yyyy;@">
                  <c:v>45852</c:v>
                </c:pt>
                <c:pt idx="362" c:formatCode="[$-42C]d\ mmmm\ yyyy;@">
                  <c:v>45853</c:v>
                </c:pt>
                <c:pt idx="363" c:formatCode="[$-42C]d\ mmmm\ yyyy;@">
                  <c:v>45854</c:v>
                </c:pt>
                <c:pt idx="364" c:formatCode="[$-42C]d\ mmmm\ yyyy;@">
                  <c:v>45855</c:v>
                </c:pt>
                <c:pt idx="365" c:formatCode="[$-42C]d\ mmmm\ yyyy;@">
                  <c:v>45856</c:v>
                </c:pt>
                <c:pt idx="366" c:formatCode="[$-42C]d\ mmmm\ yyyy;@">
                  <c:v>45859</c:v>
                </c:pt>
                <c:pt idx="367" c:formatCode="[$-42C]d\ mmmm\ yyyy;@">
                  <c:v>45860</c:v>
                </c:pt>
                <c:pt idx="368" c:formatCode="[$-42C]d\ mmmm\ yyyy;@">
                  <c:v>45861</c:v>
                </c:pt>
                <c:pt idx="369" c:formatCode="[$-42C]d\ mmmm\ yyyy;@">
                  <c:v>45862</c:v>
                </c:pt>
                <c:pt idx="370" c:formatCode="[$-42C]d\ mmmm\ yyyy;@">
                  <c:v>45863</c:v>
                </c:pt>
                <c:pt idx="371" c:formatCode="[$-42C]d\ mmmm\ yyyy;@">
                  <c:v>45866</c:v>
                </c:pt>
                <c:pt idx="372" c:formatCode="[$-42C]d\ mmmm\ yyyy;@">
                  <c:v>45867</c:v>
                </c:pt>
                <c:pt idx="373" c:formatCode="[$-42C]d\ mmmm\ yyyy;@">
                  <c:v>45868</c:v>
                </c:pt>
                <c:pt idx="374" c:formatCode="[$-42C]d\ mmmm\ yyyy;@">
                  <c:v>45869</c:v>
                </c:pt>
                <c:pt idx="375" c:formatCode="[$-42C]d\ mmmm\ yyyy;@">
                  <c:v>45870</c:v>
                </c:pt>
                <c:pt idx="376" c:formatCode="[$-42C]d\ mmmm\ yyyy;@">
                  <c:v>45873</c:v>
                </c:pt>
                <c:pt idx="377" c:formatCode="[$-42C]d\ mmmm\ yyyy;@">
                  <c:v>45874</c:v>
                </c:pt>
                <c:pt idx="378" c:formatCode="[$-42C]d\ mmmm\ yyyy;@">
                  <c:v>45875</c:v>
                </c:pt>
                <c:pt idx="379" c:formatCode="[$-42C]d\ mmmm\ yyyy;@">
                  <c:v>45876</c:v>
                </c:pt>
                <c:pt idx="380" c:formatCode="[$-42C]d\ mmmm\ yyyy;@">
                  <c:v>45877</c:v>
                </c:pt>
                <c:pt idx="381" c:formatCode="[$-42C]d\ mmmm\ yyyy;@">
                  <c:v>45880</c:v>
                </c:pt>
                <c:pt idx="382" c:formatCode="[$-42C]d\ mmmm\ yyyy;@">
                  <c:v>45881</c:v>
                </c:pt>
                <c:pt idx="383" c:formatCode="[$-42C]d\ mmmm\ yyyy;@">
                  <c:v>45882</c:v>
                </c:pt>
                <c:pt idx="384" c:formatCode="[$-42C]d\ mmmm\ yyyy;@">
                  <c:v>45883</c:v>
                </c:pt>
                <c:pt idx="385" c:formatCode="[$-42C]d\ mmmm\ yyyy;@">
                  <c:v>45884</c:v>
                </c:pt>
                <c:pt idx="386" c:formatCode="[$-42C]d\ mmmm\ yyyy;@">
                  <c:v>45887</c:v>
                </c:pt>
                <c:pt idx="387" c:formatCode="[$-42C]d\ mmmm\ yyyy;@">
                  <c:v>45888</c:v>
                </c:pt>
                <c:pt idx="388" c:formatCode="[$-42C]d\ mmmm\ yyyy;@">
                  <c:v>45889</c:v>
                </c:pt>
                <c:pt idx="389" c:formatCode="[$-42C]d\ mmmm\ yyyy;@">
                  <c:v>45890</c:v>
                </c:pt>
                <c:pt idx="390" c:formatCode="[$-42C]d\ mmmm\ yyyy;@">
                  <c:v>45891</c:v>
                </c:pt>
                <c:pt idx="391" c:formatCode="[$-42C]d\ mmmm\ yyyy;@">
                  <c:v>45894</c:v>
                </c:pt>
                <c:pt idx="392" c:formatCode="[$-42C]d\ mmmm\ yyyy;@">
                  <c:v>45895</c:v>
                </c:pt>
                <c:pt idx="393" c:formatCode="[$-42C]d\ mmmm\ yyyy;@">
                  <c:v>45896</c:v>
                </c:pt>
                <c:pt idx="394" c:formatCode="[$-42C]d\ mmmm\ yyyy;@">
                  <c:v>45897</c:v>
                </c:pt>
                <c:pt idx="395" c:formatCode="[$-42C]d\ mmmm\ yyyy;@">
                  <c:v>45898</c:v>
                </c:pt>
                <c:pt idx="396" c:formatCode="[$-42C]d\ mmmm\ yyyy;@">
                  <c:v>45901</c:v>
                </c:pt>
                <c:pt idx="397" c:formatCode="[$-42C]d\ mmmm\ yyyy;@">
                  <c:v>45902</c:v>
                </c:pt>
                <c:pt idx="398" c:formatCode="[$-42C]d\ mmmm\ yyyy;@">
                  <c:v>45903</c:v>
                </c:pt>
                <c:pt idx="399" c:formatCode="[$-42C]d\ mmmm\ yyyy;@">
                  <c:v>45904</c:v>
                </c:pt>
                <c:pt idx="400" c:formatCode="[$-42C]d\ mmmm\ yyyy;@">
                  <c:v>45905</c:v>
                </c:pt>
                <c:pt idx="401" c:formatCode="[$-42C]d\ mmmm\ yyyy;@">
                  <c:v>45908</c:v>
                </c:pt>
                <c:pt idx="402" c:formatCode="[$-42C]d\ mmmm\ yyyy;@">
                  <c:v>45909</c:v>
                </c:pt>
                <c:pt idx="403" c:formatCode="[$-42C]d\ mmmm\ yyyy;@">
                  <c:v>45910</c:v>
                </c:pt>
                <c:pt idx="404" c:formatCode="[$-42C]d\ mmmm\ yyyy;@">
                  <c:v>45911</c:v>
                </c:pt>
                <c:pt idx="405" c:formatCode="[$-42C]d\ mmmm\ yyyy;@">
                  <c:v>45912</c:v>
                </c:pt>
                <c:pt idx="406" c:formatCode="[$-42C]d\ mmmm\ yyyy;@">
                  <c:v>45915</c:v>
                </c:pt>
                <c:pt idx="407" c:formatCode="[$-42C]d\ mmmm\ yyyy;@">
                  <c:v>45916</c:v>
                </c:pt>
                <c:pt idx="408" c:formatCode="[$-42C]d\ mmmm\ yyyy;@">
                  <c:v>45917</c:v>
                </c:pt>
                <c:pt idx="409" c:formatCode="[$-42C]d\ mmmm\ yyyy;@">
                  <c:v>45918</c:v>
                </c:pt>
                <c:pt idx="410" c:formatCode="[$-42C]d\ mmmm\ yyyy;@">
                  <c:v>45919</c:v>
                </c:pt>
                <c:pt idx="411" c:formatCode="[$-42C]d\ mmmm\ yyyy;@">
                  <c:v>45922</c:v>
                </c:pt>
                <c:pt idx="412" c:formatCode="[$-42C]d\ mmmm\ yyyy;@">
                  <c:v>45923</c:v>
                </c:pt>
              </c:numCache>
            </c:numRef>
          </c:cat>
          <c:val>
            <c:numRef>
              <c:f>'AZIR website'!$C$191:$C$603</c:f>
              <c:numCache>
                <c:formatCode>0.00%</c:formatCode>
                <c:ptCount val="413"/>
                <c:pt idx="0">
                  <c:v>0.0755</c:v>
                </c:pt>
                <c:pt idx="1">
                  <c:v>0.0698</c:v>
                </c:pt>
                <c:pt idx="2">
                  <c:v>0.0697</c:v>
                </c:pt>
                <c:pt idx="3">
                  <c:v>0.0697</c:v>
                </c:pt>
                <c:pt idx="4">
                  <c:v>0.0696</c:v>
                </c:pt>
                <c:pt idx="5">
                  <c:v>0.0696</c:v>
                </c:pt>
                <c:pt idx="6">
                  <c:v>0.069</c:v>
                </c:pt>
                <c:pt idx="7">
                  <c:v>0.0729</c:v>
                </c:pt>
                <c:pt idx="8">
                  <c:v>0.0685</c:v>
                </c:pt>
                <c:pt idx="9">
                  <c:v>0.0676</c:v>
                </c:pt>
                <c:pt idx="10">
                  <c:v>0.0668</c:v>
                </c:pt>
                <c:pt idx="11">
                  <c:v>0.0668</c:v>
                </c:pt>
                <c:pt idx="12">
                  <c:v>0.0668</c:v>
                </c:pt>
                <c:pt idx="13">
                  <c:v>0.0669</c:v>
                </c:pt>
                <c:pt idx="14">
                  <c:v>0.0664</c:v>
                </c:pt>
                <c:pt idx="15">
                  <c:v>0.0656</c:v>
                </c:pt>
                <c:pt idx="16">
                  <c:v>0.0644</c:v>
                </c:pt>
                <c:pt idx="17">
                  <c:v>0.0622</c:v>
                </c:pt>
                <c:pt idx="18">
                  <c:v>0.0637</c:v>
                </c:pt>
                <c:pt idx="19">
                  <c:v>0.0634</c:v>
                </c:pt>
                <c:pt idx="20">
                  <c:v>0.0637</c:v>
                </c:pt>
                <c:pt idx="21">
                  <c:v>0.0609</c:v>
                </c:pt>
                <c:pt idx="22">
                  <c:v>0.0606</c:v>
                </c:pt>
                <c:pt idx="23">
                  <c:v>0.0621</c:v>
                </c:pt>
                <c:pt idx="24">
                  <c:v>0.0615</c:v>
                </c:pt>
                <c:pt idx="25">
                  <c:v>0.0624</c:v>
                </c:pt>
                <c:pt idx="26">
                  <c:v>0.0596</c:v>
                </c:pt>
                <c:pt idx="27">
                  <c:v>0.0591</c:v>
                </c:pt>
                <c:pt idx="28">
                  <c:v>0.0575</c:v>
                </c:pt>
                <c:pt idx="29">
                  <c:v>0.0657</c:v>
                </c:pt>
                <c:pt idx="30">
                  <c:v>0.0653</c:v>
                </c:pt>
                <c:pt idx="31">
                  <c:v>0.0651</c:v>
                </c:pt>
                <c:pt idx="32">
                  <c:v>0.065</c:v>
                </c:pt>
                <c:pt idx="33">
                  <c:v>0.0651</c:v>
                </c:pt>
                <c:pt idx="34">
                  <c:v>0.065</c:v>
                </c:pt>
                <c:pt idx="35">
                  <c:v>0.065</c:v>
                </c:pt>
                <c:pt idx="36">
                  <c:v>0.065</c:v>
                </c:pt>
                <c:pt idx="37">
                  <c:v>0.0652</c:v>
                </c:pt>
                <c:pt idx="38">
                  <c:v>0.0659</c:v>
                </c:pt>
                <c:pt idx="39">
                  <c:v>0.0658</c:v>
                </c:pt>
                <c:pt idx="40">
                  <c:v>0.0656</c:v>
                </c:pt>
                <c:pt idx="41">
                  <c:v>0.0652</c:v>
                </c:pt>
                <c:pt idx="42">
                  <c:v>0.0651</c:v>
                </c:pt>
                <c:pt idx="43">
                  <c:v>0.0652</c:v>
                </c:pt>
                <c:pt idx="44">
                  <c:v>0.0652</c:v>
                </c:pt>
                <c:pt idx="45">
                  <c:v>0.0651</c:v>
                </c:pt>
                <c:pt idx="46">
                  <c:v>0.0651</c:v>
                </c:pt>
                <c:pt idx="47">
                  <c:v>0.0651</c:v>
                </c:pt>
                <c:pt idx="48">
                  <c:v>0.0649</c:v>
                </c:pt>
                <c:pt idx="49">
                  <c:v>0.0653</c:v>
                </c:pt>
                <c:pt idx="50">
                  <c:v>0.0651</c:v>
                </c:pt>
                <c:pt idx="51">
                  <c:v>0.0651</c:v>
                </c:pt>
                <c:pt idx="52">
                  <c:v>0.0652</c:v>
                </c:pt>
                <c:pt idx="53">
                  <c:v>0.0652</c:v>
                </c:pt>
                <c:pt idx="54">
                  <c:v>0.065</c:v>
                </c:pt>
                <c:pt idx="55">
                  <c:v>0.0654</c:v>
                </c:pt>
                <c:pt idx="56">
                  <c:v>0.0655</c:v>
                </c:pt>
                <c:pt idx="57">
                  <c:v>0.0658</c:v>
                </c:pt>
                <c:pt idx="58">
                  <c:v>0.0658</c:v>
                </c:pt>
                <c:pt idx="59">
                  <c:v>0.0658</c:v>
                </c:pt>
                <c:pt idx="60">
                  <c:v>0.0658</c:v>
                </c:pt>
                <c:pt idx="61">
                  <c:v>0.0658</c:v>
                </c:pt>
                <c:pt idx="62">
                  <c:v>0.0658</c:v>
                </c:pt>
                <c:pt idx="63">
                  <c:v>0.0671</c:v>
                </c:pt>
                <c:pt idx="64">
                  <c:v>0.0673</c:v>
                </c:pt>
                <c:pt idx="65">
                  <c:v>0.0674</c:v>
                </c:pt>
                <c:pt idx="66">
                  <c:v>0.0676</c:v>
                </c:pt>
                <c:pt idx="67">
                  <c:v>0.0674</c:v>
                </c:pt>
                <c:pt idx="68">
                  <c:v>0.0669</c:v>
                </c:pt>
                <c:pt idx="69">
                  <c:v>0.0672</c:v>
                </c:pt>
                <c:pt idx="70">
                  <c:v>0.0674</c:v>
                </c:pt>
                <c:pt idx="71">
                  <c:v>0.0675</c:v>
                </c:pt>
                <c:pt idx="72">
                  <c:v>0.0676</c:v>
                </c:pt>
                <c:pt idx="73">
                  <c:v>0.0675</c:v>
                </c:pt>
                <c:pt idx="74">
                  <c:v>0.0673</c:v>
                </c:pt>
                <c:pt idx="75">
                  <c:v>0.0676</c:v>
                </c:pt>
                <c:pt idx="76">
                  <c:v>0.068</c:v>
                </c:pt>
                <c:pt idx="77">
                  <c:v>0.0683</c:v>
                </c:pt>
                <c:pt idx="78">
                  <c:v>0.0683</c:v>
                </c:pt>
                <c:pt idx="79">
                  <c:v>0.0689</c:v>
                </c:pt>
                <c:pt idx="80">
                  <c:v>0.0687</c:v>
                </c:pt>
                <c:pt idx="81">
                  <c:v>0.0692</c:v>
                </c:pt>
                <c:pt idx="82">
                  <c:v>0.0693</c:v>
                </c:pt>
                <c:pt idx="83">
                  <c:v>0.0685</c:v>
                </c:pt>
                <c:pt idx="84">
                  <c:v>0.069</c:v>
                </c:pt>
                <c:pt idx="85">
                  <c:v>0.0691</c:v>
                </c:pt>
                <c:pt idx="86">
                  <c:v>0.0692</c:v>
                </c:pt>
                <c:pt idx="87">
                  <c:v>0.0691</c:v>
                </c:pt>
                <c:pt idx="88">
                  <c:v>0.0692</c:v>
                </c:pt>
                <c:pt idx="89">
                  <c:v>0.0692</c:v>
                </c:pt>
                <c:pt idx="90">
                  <c:v>0.0693</c:v>
                </c:pt>
                <c:pt idx="91">
                  <c:v>0.0693</c:v>
                </c:pt>
                <c:pt idx="92">
                  <c:v>0.0694</c:v>
                </c:pt>
                <c:pt idx="93">
                  <c:v>0.0694</c:v>
                </c:pt>
                <c:pt idx="94">
                  <c:v>0.0674</c:v>
                </c:pt>
                <c:pt idx="95">
                  <c:v>0.0678</c:v>
                </c:pt>
                <c:pt idx="96">
                  <c:v>0.0679</c:v>
                </c:pt>
                <c:pt idx="97">
                  <c:v>0.068</c:v>
                </c:pt>
                <c:pt idx="98">
                  <c:v>0.0681</c:v>
                </c:pt>
                <c:pt idx="99">
                  <c:v>0.0681</c:v>
                </c:pt>
                <c:pt idx="100">
                  <c:v>0.0672</c:v>
                </c:pt>
                <c:pt idx="101">
                  <c:v>0.0671</c:v>
                </c:pt>
                <c:pt idx="102">
                  <c:v>0.0671</c:v>
                </c:pt>
                <c:pt idx="103">
                  <c:v>0.0672</c:v>
                </c:pt>
                <c:pt idx="104">
                  <c:v>0.0671</c:v>
                </c:pt>
                <c:pt idx="105">
                  <c:v>0.0671</c:v>
                </c:pt>
                <c:pt idx="106">
                  <c:v>0.067</c:v>
                </c:pt>
                <c:pt idx="107">
                  <c:v>0.067</c:v>
                </c:pt>
                <c:pt idx="108">
                  <c:v>0.0669</c:v>
                </c:pt>
                <c:pt idx="109">
                  <c:v>0.0671</c:v>
                </c:pt>
                <c:pt idx="110">
                  <c:v>0.0671</c:v>
                </c:pt>
                <c:pt idx="111">
                  <c:v>0.0673</c:v>
                </c:pt>
                <c:pt idx="112">
                  <c:v>0.0673</c:v>
                </c:pt>
                <c:pt idx="113">
                  <c:v>0.0676</c:v>
                </c:pt>
                <c:pt idx="114">
                  <c:v>0.0676</c:v>
                </c:pt>
                <c:pt idx="115">
                  <c:v>0.0679</c:v>
                </c:pt>
                <c:pt idx="116">
                  <c:v>0.0671</c:v>
                </c:pt>
                <c:pt idx="117">
                  <c:v>0.0686</c:v>
                </c:pt>
                <c:pt idx="118">
                  <c:v>0.0693</c:v>
                </c:pt>
                <c:pt idx="119">
                  <c:v>0.0696</c:v>
                </c:pt>
                <c:pt idx="120">
                  <c:v>0.0697</c:v>
                </c:pt>
                <c:pt idx="121">
                  <c:v>0.0699</c:v>
                </c:pt>
                <c:pt idx="122">
                  <c:v>0.0692</c:v>
                </c:pt>
                <c:pt idx="123">
                  <c:v>0.0692</c:v>
                </c:pt>
                <c:pt idx="124">
                  <c:v>0.07</c:v>
                </c:pt>
                <c:pt idx="125">
                  <c:v>0.0702</c:v>
                </c:pt>
                <c:pt idx="126">
                  <c:v>0.0707</c:v>
                </c:pt>
                <c:pt idx="127">
                  <c:v>0.07</c:v>
                </c:pt>
                <c:pt idx="128">
                  <c:v>0.0708</c:v>
                </c:pt>
                <c:pt idx="129">
                  <c:v>0.0712</c:v>
                </c:pt>
                <c:pt idx="130">
                  <c:v>0.0711</c:v>
                </c:pt>
                <c:pt idx="131">
                  <c:v>0.0708</c:v>
                </c:pt>
                <c:pt idx="132">
                  <c:v>0.0721</c:v>
                </c:pt>
                <c:pt idx="133">
                  <c:v>0.0723</c:v>
                </c:pt>
                <c:pt idx="134">
                  <c:v>0.0716</c:v>
                </c:pt>
                <c:pt idx="135">
                  <c:v>0.0729</c:v>
                </c:pt>
                <c:pt idx="136">
                  <c:v>0.0731</c:v>
                </c:pt>
                <c:pt idx="137">
                  <c:v>0.0732</c:v>
                </c:pt>
                <c:pt idx="138">
                  <c:v>0.0732</c:v>
                </c:pt>
                <c:pt idx="139">
                  <c:v>0.0736</c:v>
                </c:pt>
                <c:pt idx="140">
                  <c:v>0.0736</c:v>
                </c:pt>
                <c:pt idx="141">
                  <c:v>0.0736</c:v>
                </c:pt>
                <c:pt idx="142">
                  <c:v>0.073</c:v>
                </c:pt>
                <c:pt idx="143">
                  <c:v>0.0724</c:v>
                </c:pt>
                <c:pt idx="144">
                  <c:v>0.0708</c:v>
                </c:pt>
                <c:pt idx="145">
                  <c:v>0.0728</c:v>
                </c:pt>
                <c:pt idx="146">
                  <c:v>0.0724</c:v>
                </c:pt>
                <c:pt idx="147">
                  <c:v>0.071</c:v>
                </c:pt>
                <c:pt idx="148">
                  <c:v>0.071</c:v>
                </c:pt>
                <c:pt idx="149">
                  <c:v>0.0722</c:v>
                </c:pt>
                <c:pt idx="150">
                  <c:v>0.0724</c:v>
                </c:pt>
                <c:pt idx="151">
                  <c:v>0.0721</c:v>
                </c:pt>
                <c:pt idx="152">
                  <c:v>0.0725</c:v>
                </c:pt>
                <c:pt idx="153">
                  <c:v>0.0724</c:v>
                </c:pt>
                <c:pt idx="154">
                  <c:v>0.0725</c:v>
                </c:pt>
                <c:pt idx="155">
                  <c:v>0.0726</c:v>
                </c:pt>
                <c:pt idx="156">
                  <c:v>0.0721</c:v>
                </c:pt>
                <c:pt idx="157">
                  <c:v>0.0725</c:v>
                </c:pt>
                <c:pt idx="158">
                  <c:v>0.0728</c:v>
                </c:pt>
                <c:pt idx="159">
                  <c:v>0.0727</c:v>
                </c:pt>
                <c:pt idx="160">
                  <c:v>0.073</c:v>
                </c:pt>
                <c:pt idx="161">
                  <c:v>0.0727</c:v>
                </c:pt>
                <c:pt idx="162">
                  <c:v>0.0724</c:v>
                </c:pt>
                <c:pt idx="163">
                  <c:v>0.0721</c:v>
                </c:pt>
                <c:pt idx="164">
                  <c:v>0.0726</c:v>
                </c:pt>
                <c:pt idx="165">
                  <c:v>0.0726</c:v>
                </c:pt>
                <c:pt idx="166">
                  <c:v>0.0728</c:v>
                </c:pt>
                <c:pt idx="167">
                  <c:v>0.072</c:v>
                </c:pt>
                <c:pt idx="168">
                  <c:v>0.0729</c:v>
                </c:pt>
                <c:pt idx="169">
                  <c:v>0.0728</c:v>
                </c:pt>
                <c:pt idx="170">
                  <c:v>0.0729</c:v>
                </c:pt>
                <c:pt idx="171">
                  <c:v>0.0731</c:v>
                </c:pt>
                <c:pt idx="172">
                  <c:v>0.0732</c:v>
                </c:pt>
                <c:pt idx="173">
                  <c:v>0.0733</c:v>
                </c:pt>
                <c:pt idx="174">
                  <c:v>0.0731</c:v>
                </c:pt>
                <c:pt idx="175">
                  <c:v>0.0732</c:v>
                </c:pt>
                <c:pt idx="176">
                  <c:v>0.0742</c:v>
                </c:pt>
                <c:pt idx="177">
                  <c:v>0.0737</c:v>
                </c:pt>
                <c:pt idx="178">
                  <c:v>0.0744</c:v>
                </c:pt>
                <c:pt idx="179">
                  <c:v>0.0739</c:v>
                </c:pt>
                <c:pt idx="180">
                  <c:v>0.0743</c:v>
                </c:pt>
                <c:pt idx="181">
                  <c:v>0.0743</c:v>
                </c:pt>
                <c:pt idx="182">
                  <c:v>0.0743</c:v>
                </c:pt>
                <c:pt idx="183">
                  <c:v>0.0742</c:v>
                </c:pt>
                <c:pt idx="184">
                  <c:v>0.0741</c:v>
                </c:pt>
                <c:pt idx="185">
                  <c:v>0.0741</c:v>
                </c:pt>
                <c:pt idx="186">
                  <c:v>0.0752</c:v>
                </c:pt>
                <c:pt idx="187">
                  <c:v>0.075</c:v>
                </c:pt>
                <c:pt idx="188">
                  <c:v>0.0744</c:v>
                </c:pt>
                <c:pt idx="189">
                  <c:v>0.0741</c:v>
                </c:pt>
                <c:pt idx="190">
                  <c:v>0.0749</c:v>
                </c:pt>
                <c:pt idx="191">
                  <c:v>0.0749</c:v>
                </c:pt>
                <c:pt idx="192">
                  <c:v>0.0751</c:v>
                </c:pt>
                <c:pt idx="193">
                  <c:v>0.0752</c:v>
                </c:pt>
                <c:pt idx="194">
                  <c:v>0.075</c:v>
                </c:pt>
                <c:pt idx="195">
                  <c:v>0.0753</c:v>
                </c:pt>
                <c:pt idx="196">
                  <c:v>0.0752</c:v>
                </c:pt>
                <c:pt idx="197">
                  <c:v>0.0753</c:v>
                </c:pt>
                <c:pt idx="198">
                  <c:v>0.0753</c:v>
                </c:pt>
                <c:pt idx="199">
                  <c:v>0.0752</c:v>
                </c:pt>
                <c:pt idx="200">
                  <c:v>0.0755</c:v>
                </c:pt>
                <c:pt idx="201">
                  <c:v>0.0754</c:v>
                </c:pt>
                <c:pt idx="202">
                  <c:v>0.0752</c:v>
                </c:pt>
                <c:pt idx="203">
                  <c:v>0.075</c:v>
                </c:pt>
                <c:pt idx="204">
                  <c:v>0.075</c:v>
                </c:pt>
                <c:pt idx="205">
                  <c:v>0.075</c:v>
                </c:pt>
                <c:pt idx="206">
                  <c:v>0.077</c:v>
                </c:pt>
                <c:pt idx="207">
                  <c:v>0.0764</c:v>
                </c:pt>
                <c:pt idx="208">
                  <c:v>0.0765</c:v>
                </c:pt>
                <c:pt idx="209">
                  <c:v>0.0765</c:v>
                </c:pt>
                <c:pt idx="210">
                  <c:v>0.0771</c:v>
                </c:pt>
                <c:pt idx="211">
                  <c:v>0.0768</c:v>
                </c:pt>
                <c:pt idx="212">
                  <c:v>0.0769</c:v>
                </c:pt>
                <c:pt idx="213">
                  <c:v>0.0766</c:v>
                </c:pt>
                <c:pt idx="214">
                  <c:v>0.0769</c:v>
                </c:pt>
                <c:pt idx="215">
                  <c:v>0.0774</c:v>
                </c:pt>
                <c:pt idx="216">
                  <c:v>0.0783</c:v>
                </c:pt>
                <c:pt idx="217">
                  <c:v>0.0786</c:v>
                </c:pt>
                <c:pt idx="218">
                  <c:v>0.0785</c:v>
                </c:pt>
                <c:pt idx="219">
                  <c:v>0.0783</c:v>
                </c:pt>
                <c:pt idx="220">
                  <c:v>0.0785</c:v>
                </c:pt>
                <c:pt idx="221">
                  <c:v>0.0788</c:v>
                </c:pt>
                <c:pt idx="222">
                  <c:v>0.0791</c:v>
                </c:pt>
                <c:pt idx="223">
                  <c:v>0.0791</c:v>
                </c:pt>
                <c:pt idx="224">
                  <c:v>0.0781</c:v>
                </c:pt>
                <c:pt idx="225">
                  <c:v>0.0778</c:v>
                </c:pt>
                <c:pt idx="226">
                  <c:v>0.0772</c:v>
                </c:pt>
                <c:pt idx="227">
                  <c:v>0.0768</c:v>
                </c:pt>
                <c:pt idx="228">
                  <c:v>0.0758</c:v>
                </c:pt>
                <c:pt idx="229">
                  <c:v>0.0762</c:v>
                </c:pt>
                <c:pt idx="230">
                  <c:v>0.0773</c:v>
                </c:pt>
                <c:pt idx="231">
                  <c:v>0.0766</c:v>
                </c:pt>
                <c:pt idx="232">
                  <c:v>0.0764</c:v>
                </c:pt>
                <c:pt idx="233">
                  <c:v>0.0765</c:v>
                </c:pt>
                <c:pt idx="234">
                  <c:v>0.0768</c:v>
                </c:pt>
                <c:pt idx="235">
                  <c:v>0.0763</c:v>
                </c:pt>
                <c:pt idx="236">
                  <c:v>0.0762</c:v>
                </c:pt>
                <c:pt idx="237">
                  <c:v>0.0764</c:v>
                </c:pt>
                <c:pt idx="238">
                  <c:v>0.0745</c:v>
                </c:pt>
                <c:pt idx="239">
                  <c:v>0.0714</c:v>
                </c:pt>
                <c:pt idx="240">
                  <c:v>0.0655</c:v>
                </c:pt>
                <c:pt idx="241">
                  <c:v>0.0655</c:v>
                </c:pt>
                <c:pt idx="242">
                  <c:v>0.0716</c:v>
                </c:pt>
                <c:pt idx="243">
                  <c:v>0.0648</c:v>
                </c:pt>
                <c:pt idx="244">
                  <c:v>0.0643</c:v>
                </c:pt>
                <c:pt idx="245">
                  <c:v>0.0634</c:v>
                </c:pt>
                <c:pt idx="246">
                  <c:v>0.0633</c:v>
                </c:pt>
                <c:pt idx="247">
                  <c:v>0.0634</c:v>
                </c:pt>
                <c:pt idx="248">
                  <c:v>0.0635</c:v>
                </c:pt>
                <c:pt idx="249">
                  <c:v>0.0635</c:v>
                </c:pt>
                <c:pt idx="250">
                  <c:v>0.0635</c:v>
                </c:pt>
                <c:pt idx="251">
                  <c:v>0.0635</c:v>
                </c:pt>
                <c:pt idx="252">
                  <c:v>0.0681</c:v>
                </c:pt>
                <c:pt idx="253">
                  <c:v>0.0716</c:v>
                </c:pt>
                <c:pt idx="254">
                  <c:v>0.0733</c:v>
                </c:pt>
                <c:pt idx="255">
                  <c:v>0.0736</c:v>
                </c:pt>
                <c:pt idx="256">
                  <c:v>0.0754</c:v>
                </c:pt>
                <c:pt idx="257">
                  <c:v>0.0765</c:v>
                </c:pt>
                <c:pt idx="258">
                  <c:v>0.0769</c:v>
                </c:pt>
                <c:pt idx="259">
                  <c:v>0.077</c:v>
                </c:pt>
                <c:pt idx="260">
                  <c:v>0.0773</c:v>
                </c:pt>
                <c:pt idx="261">
                  <c:v>0.076</c:v>
                </c:pt>
                <c:pt idx="262">
                  <c:v>0.0755</c:v>
                </c:pt>
                <c:pt idx="263">
                  <c:v>0.0756</c:v>
                </c:pt>
                <c:pt idx="264">
                  <c:v>0.0758</c:v>
                </c:pt>
                <c:pt idx="265">
                  <c:v>0.0757</c:v>
                </c:pt>
                <c:pt idx="266">
                  <c:v>0.0757</c:v>
                </c:pt>
                <c:pt idx="267">
                  <c:v>0.0755</c:v>
                </c:pt>
                <c:pt idx="268">
                  <c:v>0.0722</c:v>
                </c:pt>
                <c:pt idx="269">
                  <c:v>0.0709</c:v>
                </c:pt>
                <c:pt idx="270">
                  <c:v>0.0739</c:v>
                </c:pt>
                <c:pt idx="271">
                  <c:v>0.0745</c:v>
                </c:pt>
                <c:pt idx="272">
                  <c:v>0.0749</c:v>
                </c:pt>
                <c:pt idx="273">
                  <c:v>0.0752</c:v>
                </c:pt>
                <c:pt idx="274">
                  <c:v>0.0749</c:v>
                </c:pt>
                <c:pt idx="275">
                  <c:v>0.0753</c:v>
                </c:pt>
                <c:pt idx="276">
                  <c:v>0.0737</c:v>
                </c:pt>
                <c:pt idx="277">
                  <c:v>0.0721</c:v>
                </c:pt>
                <c:pt idx="278">
                  <c:v>0.072</c:v>
                </c:pt>
                <c:pt idx="279">
                  <c:v>0.0718</c:v>
                </c:pt>
                <c:pt idx="280">
                  <c:v>0.0711</c:v>
                </c:pt>
                <c:pt idx="281">
                  <c:v>0.0696</c:v>
                </c:pt>
                <c:pt idx="282">
                  <c:v>0.0691</c:v>
                </c:pt>
                <c:pt idx="283">
                  <c:v>0.0682</c:v>
                </c:pt>
                <c:pt idx="284">
                  <c:v>0.0674</c:v>
                </c:pt>
                <c:pt idx="285">
                  <c:v>0.067</c:v>
                </c:pt>
                <c:pt idx="286">
                  <c:v>0.0662</c:v>
                </c:pt>
                <c:pt idx="287">
                  <c:v>0.0665</c:v>
                </c:pt>
                <c:pt idx="288">
                  <c:v>0.0664</c:v>
                </c:pt>
                <c:pt idx="289">
                  <c:v>0.0674</c:v>
                </c:pt>
                <c:pt idx="290">
                  <c:v>0.0695</c:v>
                </c:pt>
                <c:pt idx="291">
                  <c:v>0.0736</c:v>
                </c:pt>
                <c:pt idx="292">
                  <c:v>0.0736</c:v>
                </c:pt>
                <c:pt idx="293">
                  <c:v>0.0757</c:v>
                </c:pt>
                <c:pt idx="294">
                  <c:v>0.0765</c:v>
                </c:pt>
                <c:pt idx="295">
                  <c:v>0.0764</c:v>
                </c:pt>
                <c:pt idx="296">
                  <c:v>0.0763</c:v>
                </c:pt>
                <c:pt idx="297">
                  <c:v>0.0768</c:v>
                </c:pt>
                <c:pt idx="298">
                  <c:v>0.0771</c:v>
                </c:pt>
                <c:pt idx="299">
                  <c:v>0.0773</c:v>
                </c:pt>
                <c:pt idx="300">
                  <c:v>0.0779</c:v>
                </c:pt>
                <c:pt idx="301">
                  <c:v>0.0762</c:v>
                </c:pt>
                <c:pt idx="302">
                  <c:v>0.0711</c:v>
                </c:pt>
                <c:pt idx="303">
                  <c:v>0.0709</c:v>
                </c:pt>
                <c:pt idx="304">
                  <c:v>0.071</c:v>
                </c:pt>
                <c:pt idx="305">
                  <c:v>0.0713</c:v>
                </c:pt>
                <c:pt idx="306">
                  <c:v>0.0721</c:v>
                </c:pt>
                <c:pt idx="307">
                  <c:v>0.0721</c:v>
                </c:pt>
                <c:pt idx="308">
                  <c:v>0.0723</c:v>
                </c:pt>
                <c:pt idx="309">
                  <c:v>0.0721</c:v>
                </c:pt>
                <c:pt idx="310">
                  <c:v>0.0705</c:v>
                </c:pt>
                <c:pt idx="311">
                  <c:v>0.0692</c:v>
                </c:pt>
                <c:pt idx="312">
                  <c:v>0.069</c:v>
                </c:pt>
                <c:pt idx="313">
                  <c:v>0.0689</c:v>
                </c:pt>
                <c:pt idx="314">
                  <c:v>0.0677</c:v>
                </c:pt>
                <c:pt idx="315">
                  <c:v>0.0666</c:v>
                </c:pt>
                <c:pt idx="316">
                  <c:v>0.0669</c:v>
                </c:pt>
                <c:pt idx="317">
                  <c:v>0.068</c:v>
                </c:pt>
                <c:pt idx="318">
                  <c:v>0.0692</c:v>
                </c:pt>
                <c:pt idx="319">
                  <c:v>0.0697</c:v>
                </c:pt>
                <c:pt idx="320">
                  <c:v>0.0697</c:v>
                </c:pt>
                <c:pt idx="321">
                  <c:v>0.0697</c:v>
                </c:pt>
                <c:pt idx="322">
                  <c:v>0.0692</c:v>
                </c:pt>
                <c:pt idx="323">
                  <c:v>0.067445</c:v>
                </c:pt>
                <c:pt idx="324">
                  <c:v>0.067237</c:v>
                </c:pt>
                <c:pt idx="325">
                  <c:v>0.067237</c:v>
                </c:pt>
                <c:pt idx="326">
                  <c:v>0.067145</c:v>
                </c:pt>
                <c:pt idx="327">
                  <c:v>0.067691</c:v>
                </c:pt>
                <c:pt idx="328">
                  <c:v>0.06555</c:v>
                </c:pt>
                <c:pt idx="329">
                  <c:v>0.06763</c:v>
                </c:pt>
                <c:pt idx="330">
                  <c:v>0.067649</c:v>
                </c:pt>
                <c:pt idx="331">
                  <c:v>0.067093</c:v>
                </c:pt>
                <c:pt idx="332">
                  <c:v>0.067021</c:v>
                </c:pt>
                <c:pt idx="333">
                  <c:v>0.066233</c:v>
                </c:pt>
                <c:pt idx="334">
                  <c:v>0.066</c:v>
                </c:pt>
                <c:pt idx="335">
                  <c:v>0.065925</c:v>
                </c:pt>
                <c:pt idx="336">
                  <c:v>0.066</c:v>
                </c:pt>
                <c:pt idx="337">
                  <c:v>0.066</c:v>
                </c:pt>
                <c:pt idx="338">
                  <c:v>0.065793</c:v>
                </c:pt>
                <c:pt idx="339">
                  <c:v>0.07045</c:v>
                </c:pt>
                <c:pt idx="340">
                  <c:v>0.070459</c:v>
                </c:pt>
                <c:pt idx="341">
                  <c:v>0.071255</c:v>
                </c:pt>
                <c:pt idx="342">
                  <c:v>0.071493</c:v>
                </c:pt>
                <c:pt idx="343">
                  <c:v>0.070965</c:v>
                </c:pt>
                <c:pt idx="344">
                  <c:v>0.071561</c:v>
                </c:pt>
                <c:pt idx="345">
                  <c:v>0.071</c:v>
                </c:pt>
                <c:pt idx="346">
                  <c:v>0.071403</c:v>
                </c:pt>
                <c:pt idx="347">
                  <c:v>0.070977</c:v>
                </c:pt>
                <c:pt idx="348">
                  <c:v>0.071211</c:v>
                </c:pt>
                <c:pt idx="349">
                  <c:v>0.071428</c:v>
                </c:pt>
                <c:pt idx="350">
                  <c:v>0.071482</c:v>
                </c:pt>
                <c:pt idx="351">
                  <c:v>0.071466</c:v>
                </c:pt>
                <c:pt idx="352">
                  <c:v>0.071</c:v>
                </c:pt>
                <c:pt idx="353">
                  <c:v>0.071</c:v>
                </c:pt>
                <c:pt idx="354">
                  <c:v>0.071</c:v>
                </c:pt>
                <c:pt idx="355">
                  <c:v>0.071</c:v>
                </c:pt>
                <c:pt idx="356">
                  <c:v>0.071222</c:v>
                </c:pt>
                <c:pt idx="357">
                  <c:v>0.071033</c:v>
                </c:pt>
                <c:pt idx="358">
                  <c:v>0.071</c:v>
                </c:pt>
                <c:pt idx="359">
                  <c:v>0.070757</c:v>
                </c:pt>
                <c:pt idx="360">
                  <c:v>0.070891</c:v>
                </c:pt>
                <c:pt idx="361">
                  <c:v>0.072232</c:v>
                </c:pt>
                <c:pt idx="362">
                  <c:v>0.071822</c:v>
                </c:pt>
                <c:pt idx="363">
                  <c:v>0.071854</c:v>
                </c:pt>
                <c:pt idx="364">
                  <c:v>0.071799</c:v>
                </c:pt>
                <c:pt idx="365">
                  <c:v>0.071842</c:v>
                </c:pt>
                <c:pt idx="366">
                  <c:v>0.071865</c:v>
                </c:pt>
                <c:pt idx="367">
                  <c:v>0.071642</c:v>
                </c:pt>
                <c:pt idx="368">
                  <c:v>0.072283</c:v>
                </c:pt>
                <c:pt idx="369">
                  <c:v>0.071722</c:v>
                </c:pt>
                <c:pt idx="370">
                  <c:v>0.071305</c:v>
                </c:pt>
                <c:pt idx="371">
                  <c:v>0.071169</c:v>
                </c:pt>
                <c:pt idx="372">
                  <c:v>0.071085</c:v>
                </c:pt>
                <c:pt idx="373">
                  <c:v>0.071089</c:v>
                </c:pt>
                <c:pt idx="374">
                  <c:v>0.070874</c:v>
                </c:pt>
                <c:pt idx="375">
                  <c:v>0.071056</c:v>
                </c:pt>
                <c:pt idx="376">
                  <c:v>0.070786</c:v>
                </c:pt>
                <c:pt idx="377">
                  <c:v>0.070668</c:v>
                </c:pt>
                <c:pt idx="378">
                  <c:v>0.069714</c:v>
                </c:pt>
                <c:pt idx="379">
                  <c:v>0.069699</c:v>
                </c:pt>
                <c:pt idx="380">
                  <c:v>0.069662</c:v>
                </c:pt>
                <c:pt idx="381">
                  <c:v>0.070051</c:v>
                </c:pt>
                <c:pt idx="382">
                  <c:v>0.0695</c:v>
                </c:pt>
                <c:pt idx="383">
                  <c:v>0.069338</c:v>
                </c:pt>
                <c:pt idx="384">
                  <c:v>0.068739</c:v>
                </c:pt>
                <c:pt idx="385">
                  <c:v>0.069182</c:v>
                </c:pt>
                <c:pt idx="386">
                  <c:v>0.069341</c:v>
                </c:pt>
                <c:pt idx="387">
                  <c:v>0.069488</c:v>
                </c:pt>
                <c:pt idx="388">
                  <c:v>0.069472</c:v>
                </c:pt>
                <c:pt idx="389">
                  <c:v>0.069437</c:v>
                </c:pt>
                <c:pt idx="390">
                  <c:v>0.069633</c:v>
                </c:pt>
                <c:pt idx="391">
                  <c:v>0.069606</c:v>
                </c:pt>
                <c:pt idx="392">
                  <c:v>0.069653</c:v>
                </c:pt>
                <c:pt idx="393">
                  <c:v>0.069653</c:v>
                </c:pt>
                <c:pt idx="394">
                  <c:v>0.069592</c:v>
                </c:pt>
                <c:pt idx="395">
                  <c:v>0.069896</c:v>
                </c:pt>
                <c:pt idx="396">
                  <c:v>0.069875</c:v>
                </c:pt>
                <c:pt idx="397">
                  <c:v>0.069584</c:v>
                </c:pt>
                <c:pt idx="398">
                  <c:v>0.06964</c:v>
                </c:pt>
                <c:pt idx="399">
                  <c:v>0.069611</c:v>
                </c:pt>
                <c:pt idx="400">
                  <c:v>0.069928</c:v>
                </c:pt>
                <c:pt idx="401">
                  <c:v>0.06985</c:v>
                </c:pt>
                <c:pt idx="402">
                  <c:v>0.069804</c:v>
                </c:pt>
                <c:pt idx="403">
                  <c:v>0.069492</c:v>
                </c:pt>
                <c:pt idx="404">
                  <c:v>0.069442</c:v>
                </c:pt>
                <c:pt idx="405">
                  <c:v>0.069795</c:v>
                </c:pt>
                <c:pt idx="406">
                  <c:v>0.069634</c:v>
                </c:pt>
                <c:pt idx="407">
                  <c:v>0.069787</c:v>
                </c:pt>
                <c:pt idx="408">
                  <c:v>0.069731</c:v>
                </c:pt>
                <c:pt idx="409">
                  <c:v>0.069689</c:v>
                </c:pt>
                <c:pt idx="410">
                  <c:v>0.06958</c:v>
                </c:pt>
                <c:pt idx="411">
                  <c:v>0.069239</c:v>
                </c:pt>
                <c:pt idx="412">
                  <c:v>0.06943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2097184"/>
        <c:axId val="302101760"/>
      </c:lineChart>
      <c:dateAx>
        <c:axId val="302097184"/>
        <c:scaling>
          <c:orientation val="minMax"/>
        </c:scaling>
        <c:delete val="0"/>
        <c:axPos val="b"/>
        <c:numFmt formatCode="[$-42C]d\ 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302101760"/>
        <c:crosses val="autoZero"/>
        <c:auto val="1"/>
        <c:lblOffset val="100"/>
        <c:baseTimeUnit val="days"/>
        <c:majorUnit val="15"/>
        <c:majorTimeUnit val="days"/>
      </c:dateAx>
      <c:valAx>
        <c:axId val="302101760"/>
        <c:scaling>
          <c:orientation val="minMax"/>
          <c:max val="0.08"/>
          <c:min val="0.05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302097184"/>
        <c:crosses val="autoZero"/>
        <c:crossBetween val="between"/>
        <c:majorUnit val="0.005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3efd16-1842-4b2a-bfcb-0d0e61f0d1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az-Latn-AZ" sz="1800" b="1">
                <a:solidFill>
                  <a:schemeClr val="tx1"/>
                </a:solidFill>
              </a:rPr>
              <a:t>AZIR* indekslərinin faiz dinamikası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1239395358866"/>
          <c:y val="0.0383321966643933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1831685932875"/>
          <c:y val="0.126700071581961"/>
          <c:w val="0.895488994273443"/>
          <c:h val="0.602001338068036"/>
        </c:manualLayout>
      </c:layout>
      <c:lineChart>
        <c:grouping val="standard"/>
        <c:varyColors val="0"/>
        <c:ser>
          <c:idx val="0"/>
          <c:order val="0"/>
          <c:tx>
            <c:strRef>
              <c:f>'1D AZIR və 1W AZIR'!$C$2:$E$2</c:f>
              <c:strCache>
                <c:ptCount val="1"/>
                <c:pt idx="0">
                  <c:v>1D AZIR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'1D AZIR və 1W AZIR'!$B$4:$B$215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45184</c:v>
                </c:pt>
                <c:pt idx="94" c:formatCode="m/d/yyyy">
                  <c:v>45187</c:v>
                </c:pt>
                <c:pt idx="95" c:formatCode="m/d/yyyy">
                  <c:v>45188</c:v>
                </c:pt>
                <c:pt idx="96" c:formatCode="m/d/yyyy">
                  <c:v>45189</c:v>
                </c:pt>
                <c:pt idx="97" c:formatCode="m/d/yyyy">
                  <c:v>45190</c:v>
                </c:pt>
                <c:pt idx="98" c:formatCode="m/d/yyyy">
                  <c:v>45191</c:v>
                </c:pt>
                <c:pt idx="99" c:formatCode="m/d/yyyy">
                  <c:v>45194</c:v>
                </c:pt>
                <c:pt idx="100" c:formatCode="m/d/yyyy">
                  <c:v>45195</c:v>
                </c:pt>
                <c:pt idx="101" c:formatCode="m/d/yyyy">
                  <c:v>45196</c:v>
                </c:pt>
                <c:pt idx="102" c:formatCode="m/d/yyyy">
                  <c:v>45197</c:v>
                </c:pt>
                <c:pt idx="103" c:formatCode="m/d/yyyy">
                  <c:v>45198</c:v>
                </c:pt>
                <c:pt idx="104" c:formatCode="m/d/yyyy">
                  <c:v>45201</c:v>
                </c:pt>
                <c:pt idx="105" c:formatCode="m/d/yyyy">
                  <c:v>45202</c:v>
                </c:pt>
                <c:pt idx="106" c:formatCode="m/d/yyyy">
                  <c:v>45203</c:v>
                </c:pt>
                <c:pt idx="107" c:formatCode="m/d/yyyy">
                  <c:v>45204</c:v>
                </c:pt>
                <c:pt idx="108" c:formatCode="m/d/yyyy">
                  <c:v>45205</c:v>
                </c:pt>
                <c:pt idx="109" c:formatCode="m/d/yyyy">
                  <c:v>45208</c:v>
                </c:pt>
                <c:pt idx="110" c:formatCode="m/d/yyyy">
                  <c:v>45209</c:v>
                </c:pt>
                <c:pt idx="111" c:formatCode="m/d/yyyy">
                  <c:v>45210</c:v>
                </c:pt>
                <c:pt idx="112" c:formatCode="m/d/yyyy">
                  <c:v>45211</c:v>
                </c:pt>
                <c:pt idx="113" c:formatCode="m/d/yyyy">
                  <c:v>45212</c:v>
                </c:pt>
                <c:pt idx="114" c:formatCode="m/d/yyyy">
                  <c:v>45215</c:v>
                </c:pt>
                <c:pt idx="115" c:formatCode="m/d/yyyy">
                  <c:v>45216</c:v>
                </c:pt>
                <c:pt idx="116" c:formatCode="m/d/yyyy">
                  <c:v>45217</c:v>
                </c:pt>
                <c:pt idx="117" c:formatCode="m/d/yyyy">
                  <c:v>45218</c:v>
                </c:pt>
                <c:pt idx="118" c:formatCode="m/d/yyyy">
                  <c:v>45219</c:v>
                </c:pt>
                <c:pt idx="119" c:formatCode="m/d/yyyy">
                  <c:v>45222</c:v>
                </c:pt>
                <c:pt idx="120" c:formatCode="m/d/yyyy">
                  <c:v>45223</c:v>
                </c:pt>
                <c:pt idx="121" c:formatCode="m/d/yyyy">
                  <c:v>45224</c:v>
                </c:pt>
                <c:pt idx="122" c:formatCode="m/d/yyyy">
                  <c:v>45225</c:v>
                </c:pt>
                <c:pt idx="123" c:formatCode="m/d/yyyy">
                  <c:v>45226</c:v>
                </c:pt>
                <c:pt idx="124" c:formatCode="m/d/yyyy">
                  <c:v>45229</c:v>
                </c:pt>
                <c:pt idx="125" c:formatCode="m/d/yyyy">
                  <c:v>45230</c:v>
                </c:pt>
                <c:pt idx="126" c:formatCode="m/d/yyyy">
                  <c:v>45231</c:v>
                </c:pt>
                <c:pt idx="127" c:formatCode="m/d/yyyy">
                  <c:v>45232</c:v>
                </c:pt>
                <c:pt idx="128" c:formatCode="m/d/yyyy">
                  <c:v>45233</c:v>
                </c:pt>
                <c:pt idx="129" c:formatCode="m/d/yyyy">
                  <c:v>45234</c:v>
                </c:pt>
                <c:pt idx="130" c:formatCode="m/d/yyyy">
                  <c:v>45236</c:v>
                </c:pt>
                <c:pt idx="131" c:formatCode="m/d/yyyy">
                  <c:v>45237</c:v>
                </c:pt>
                <c:pt idx="132" c:formatCode="m/d/yyyy">
                  <c:v>45243</c:v>
                </c:pt>
                <c:pt idx="133" c:formatCode="m/d/yyyy">
                  <c:v>45244</c:v>
                </c:pt>
                <c:pt idx="134" c:formatCode="m/d/yyyy">
                  <c:v>45245</c:v>
                </c:pt>
                <c:pt idx="135" c:formatCode="m/d/yyyy">
                  <c:v>45246</c:v>
                </c:pt>
                <c:pt idx="136" c:formatCode="m/d/yyyy">
                  <c:v>45247</c:v>
                </c:pt>
                <c:pt idx="137" c:formatCode="m/d/yyyy">
                  <c:v>45250</c:v>
                </c:pt>
                <c:pt idx="138" c:formatCode="m/d/yyyy">
                  <c:v>45251</c:v>
                </c:pt>
                <c:pt idx="139" c:formatCode="m/d/yyyy">
                  <c:v>45252</c:v>
                </c:pt>
                <c:pt idx="140" c:formatCode="m/d/yyyy">
                  <c:v>45253</c:v>
                </c:pt>
                <c:pt idx="141" c:formatCode="m/d/yyyy">
                  <c:v>45254</c:v>
                </c:pt>
                <c:pt idx="142" c:formatCode="m/d/yyyy">
                  <c:v>45257</c:v>
                </c:pt>
                <c:pt idx="143" c:formatCode="m/d/yyyy">
                  <c:v>45258</c:v>
                </c:pt>
                <c:pt idx="144" c:formatCode="m/d/yyyy">
                  <c:v>45259</c:v>
                </c:pt>
                <c:pt idx="145" c:formatCode="m/d/yyyy">
                  <c:v>45260</c:v>
                </c:pt>
                <c:pt idx="146" c:formatCode="m/d/yyyy">
                  <c:v>45261</c:v>
                </c:pt>
                <c:pt idx="147" c:formatCode="m/d/yyyy">
                  <c:v>45264</c:v>
                </c:pt>
                <c:pt idx="148" c:formatCode="m/d/yyyy">
                  <c:v>45265</c:v>
                </c:pt>
                <c:pt idx="149" c:formatCode="m/d/yyyy">
                  <c:v>45266</c:v>
                </c:pt>
                <c:pt idx="150" c:formatCode="m/d/yyyy">
                  <c:v>45267</c:v>
                </c:pt>
                <c:pt idx="151" c:formatCode="m/d/yyyy">
                  <c:v>45268</c:v>
                </c:pt>
                <c:pt idx="152" c:formatCode="m/d/yyyy">
                  <c:v>45271</c:v>
                </c:pt>
                <c:pt idx="153" c:formatCode="m/d/yyyy">
                  <c:v>45272</c:v>
                </c:pt>
                <c:pt idx="154" c:formatCode="m/d/yyyy">
                  <c:v>45273</c:v>
                </c:pt>
                <c:pt idx="155" c:formatCode="m/d/yyyy">
                  <c:v>45274</c:v>
                </c:pt>
                <c:pt idx="156" c:formatCode="m/d/yyyy">
                  <c:v>45275</c:v>
                </c:pt>
                <c:pt idx="157" c:formatCode="m/d/yyyy">
                  <c:v>45278</c:v>
                </c:pt>
                <c:pt idx="158" c:formatCode="m/d/yyyy">
                  <c:v>45279</c:v>
                </c:pt>
                <c:pt idx="159" c:formatCode="m/d/yyyy">
                  <c:v>45280</c:v>
                </c:pt>
                <c:pt idx="160" c:formatCode="m/d/yyyy">
                  <c:v>45281</c:v>
                </c:pt>
                <c:pt idx="161" c:formatCode="m/d/yyyy">
                  <c:v>45282</c:v>
                </c:pt>
                <c:pt idx="162" c:formatCode="m/d/yyyy">
                  <c:v>45285</c:v>
                </c:pt>
                <c:pt idx="163" c:formatCode="m/d/yyyy">
                  <c:v>45286</c:v>
                </c:pt>
                <c:pt idx="164" c:formatCode="m/d/yyyy">
                  <c:v>45287</c:v>
                </c:pt>
                <c:pt idx="165" c:formatCode="m/d/yyyy">
                  <c:v>45288</c:v>
                </c:pt>
                <c:pt idx="166" c:formatCode="m/d/yyyy">
                  <c:v>45289</c:v>
                </c:pt>
                <c:pt idx="167" c:formatCode="m/d/yyyy">
                  <c:v>45290</c:v>
                </c:pt>
                <c:pt idx="168" c:formatCode="m/d/yyyy">
                  <c:v>45298</c:v>
                </c:pt>
                <c:pt idx="169" c:formatCode="m/d/yyyy">
                  <c:v>45299</c:v>
                </c:pt>
                <c:pt idx="170" c:formatCode="m/d/yyyy">
                  <c:v>45300</c:v>
                </c:pt>
                <c:pt idx="171" c:formatCode="m/d/yyyy">
                  <c:v>45301</c:v>
                </c:pt>
                <c:pt idx="172" c:formatCode="m/d/yyyy">
                  <c:v>45302</c:v>
                </c:pt>
                <c:pt idx="173" c:formatCode="m/d/yyyy">
                  <c:v>45303</c:v>
                </c:pt>
                <c:pt idx="174" c:formatCode="m/d/yyyy">
                  <c:v>45306</c:v>
                </c:pt>
                <c:pt idx="175" c:formatCode="m/d/yyyy">
                  <c:v>45307</c:v>
                </c:pt>
                <c:pt idx="176" c:formatCode="m/d/yyyy">
                  <c:v>45308</c:v>
                </c:pt>
                <c:pt idx="177" c:formatCode="m/d/yyyy">
                  <c:v>45309</c:v>
                </c:pt>
                <c:pt idx="178" c:formatCode="m/d/yyyy">
                  <c:v>45310</c:v>
                </c:pt>
                <c:pt idx="179" c:formatCode="m/d/yyyy">
                  <c:v>45313</c:v>
                </c:pt>
                <c:pt idx="180" c:formatCode="m/d/yyyy">
                  <c:v>45314</c:v>
                </c:pt>
                <c:pt idx="181" c:formatCode="m/d/yyyy">
                  <c:v>45315</c:v>
                </c:pt>
                <c:pt idx="182" c:formatCode="m/d/yyyy">
                  <c:v>45316</c:v>
                </c:pt>
                <c:pt idx="183" c:formatCode="m/d/yyyy">
                  <c:v>45317</c:v>
                </c:pt>
                <c:pt idx="184" c:formatCode="m/d/yyyy">
                  <c:v>45320</c:v>
                </c:pt>
                <c:pt idx="185" c:formatCode="m/d/yyyy">
                  <c:v>45321</c:v>
                </c:pt>
                <c:pt idx="186" c:formatCode="m/d/yyyy">
                  <c:v>45322</c:v>
                </c:pt>
                <c:pt idx="187" c:formatCode="m/d/yyyy">
                  <c:v>45323</c:v>
                </c:pt>
                <c:pt idx="188" c:formatCode="m/d/yyyy">
                  <c:v>45324</c:v>
                </c:pt>
                <c:pt idx="189" c:formatCode="m/d/yyyy">
                  <c:v>45327</c:v>
                </c:pt>
                <c:pt idx="190" c:formatCode="m/d/yyyy">
                  <c:v>45328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AZIR'!$C$4:$C$215</c:f>
              <c:numCache>
                <c:formatCode>0.00%</c:formatCode>
                <c:ptCount val="212"/>
                <c:pt idx="0">
                  <c:v>0.0496928251121076</c:v>
                </c:pt>
                <c:pt idx="1">
                  <c:v>0.0494</c:v>
                </c:pt>
                <c:pt idx="2">
                  <c:v>0.0493</c:v>
                </c:pt>
                <c:pt idx="3">
                  <c:v>0.0535</c:v>
                </c:pt>
                <c:pt idx="4">
                  <c:v>0.0538</c:v>
                </c:pt>
                <c:pt idx="5">
                  <c:v>0.0535</c:v>
                </c:pt>
                <c:pt idx="6">
                  <c:v>0.0535</c:v>
                </c:pt>
                <c:pt idx="7">
                  <c:v>0.0537</c:v>
                </c:pt>
                <c:pt idx="8">
                  <c:v>0.0534</c:v>
                </c:pt>
                <c:pt idx="9">
                  <c:v>0.0538</c:v>
                </c:pt>
                <c:pt idx="10">
                  <c:v>0.0539</c:v>
                </c:pt>
                <c:pt idx="11">
                  <c:v>0.054</c:v>
                </c:pt>
                <c:pt idx="12">
                  <c:v>0.054</c:v>
                </c:pt>
                <c:pt idx="13">
                  <c:v>0.0536</c:v>
                </c:pt>
                <c:pt idx="14">
                  <c:v>0.0532</c:v>
                </c:pt>
                <c:pt idx="15">
                  <c:v>0.0538</c:v>
                </c:pt>
                <c:pt idx="16">
                  <c:v>0.055</c:v>
                </c:pt>
                <c:pt idx="17">
                  <c:v>0.0546</c:v>
                </c:pt>
                <c:pt idx="18">
                  <c:v>0.0546</c:v>
                </c:pt>
                <c:pt idx="19">
                  <c:v>0.0544</c:v>
                </c:pt>
                <c:pt idx="20">
                  <c:v>0.0546</c:v>
                </c:pt>
                <c:pt idx="21">
                  <c:v>0.054</c:v>
                </c:pt>
                <c:pt idx="22">
                  <c:v>0.0545</c:v>
                </c:pt>
                <c:pt idx="23">
                  <c:v>0.0548</c:v>
                </c:pt>
                <c:pt idx="24">
                  <c:v>0.0553</c:v>
                </c:pt>
                <c:pt idx="25">
                  <c:v>0.0545</c:v>
                </c:pt>
                <c:pt idx="26">
                  <c:v>0.0558</c:v>
                </c:pt>
                <c:pt idx="27">
                  <c:v>0.0556</c:v>
                </c:pt>
                <c:pt idx="28">
                  <c:v>0.0557</c:v>
                </c:pt>
                <c:pt idx="29">
                  <c:v>0.0565</c:v>
                </c:pt>
                <c:pt idx="30">
                  <c:v>0.0558</c:v>
                </c:pt>
                <c:pt idx="31">
                  <c:v>0.0558</c:v>
                </c:pt>
                <c:pt idx="32">
                  <c:v>0.0564</c:v>
                </c:pt>
                <c:pt idx="33">
                  <c:v>0.0564</c:v>
                </c:pt>
                <c:pt idx="34">
                  <c:v>0.0565</c:v>
                </c:pt>
                <c:pt idx="35">
                  <c:v>0.0563</c:v>
                </c:pt>
                <c:pt idx="36">
                  <c:v>0.0564</c:v>
                </c:pt>
                <c:pt idx="37">
                  <c:v>0.0563</c:v>
                </c:pt>
                <c:pt idx="38">
                  <c:v>0.0563</c:v>
                </c:pt>
                <c:pt idx="39">
                  <c:v>0.0567</c:v>
                </c:pt>
                <c:pt idx="40">
                  <c:v>0.0564</c:v>
                </c:pt>
                <c:pt idx="41">
                  <c:v>0.056</c:v>
                </c:pt>
                <c:pt idx="42">
                  <c:v>0.0567</c:v>
                </c:pt>
                <c:pt idx="43">
                  <c:v>0.0563</c:v>
                </c:pt>
                <c:pt idx="44">
                  <c:v>0.0558</c:v>
                </c:pt>
                <c:pt idx="45">
                  <c:v>0.0563</c:v>
                </c:pt>
                <c:pt idx="46">
                  <c:v>0.0567</c:v>
                </c:pt>
                <c:pt idx="47">
                  <c:v>0.0564</c:v>
                </c:pt>
                <c:pt idx="48">
                  <c:v>0.0568</c:v>
                </c:pt>
                <c:pt idx="49">
                  <c:v>0.0559</c:v>
                </c:pt>
                <c:pt idx="50">
                  <c:v>0.056</c:v>
                </c:pt>
                <c:pt idx="51">
                  <c:v>0.0569</c:v>
                </c:pt>
                <c:pt idx="52">
                  <c:v>0.0566</c:v>
                </c:pt>
                <c:pt idx="53">
                  <c:v>0.0571</c:v>
                </c:pt>
                <c:pt idx="54">
                  <c:v>0.0572</c:v>
                </c:pt>
                <c:pt idx="55">
                  <c:v>0.0568</c:v>
                </c:pt>
                <c:pt idx="56">
                  <c:v>0.0569</c:v>
                </c:pt>
                <c:pt idx="57">
                  <c:v>0.056</c:v>
                </c:pt>
                <c:pt idx="58">
                  <c:v>0.0553</c:v>
                </c:pt>
                <c:pt idx="59">
                  <c:v>0.0564</c:v>
                </c:pt>
                <c:pt idx="60">
                  <c:v>0.0563</c:v>
                </c:pt>
                <c:pt idx="61">
                  <c:v>0.0559</c:v>
                </c:pt>
                <c:pt idx="62">
                  <c:v>0.0564</c:v>
                </c:pt>
                <c:pt idx="63">
                  <c:v>0.0565</c:v>
                </c:pt>
                <c:pt idx="64">
                  <c:v>0.0567</c:v>
                </c:pt>
                <c:pt idx="65">
                  <c:v>0.0569</c:v>
                </c:pt>
                <c:pt idx="66">
                  <c:v>0.0576</c:v>
                </c:pt>
                <c:pt idx="67">
                  <c:v>0.0566</c:v>
                </c:pt>
                <c:pt idx="68">
                  <c:v>0.0571</c:v>
                </c:pt>
                <c:pt idx="69">
                  <c:v>0.0568</c:v>
                </c:pt>
                <c:pt idx="70">
                  <c:v>0.0601</c:v>
                </c:pt>
                <c:pt idx="71">
                  <c:v>0.0597</c:v>
                </c:pt>
                <c:pt idx="72">
                  <c:v>0.0594</c:v>
                </c:pt>
                <c:pt idx="73">
                  <c:v>0.0595</c:v>
                </c:pt>
                <c:pt idx="74">
                  <c:v>0.0594</c:v>
                </c:pt>
                <c:pt idx="75">
                  <c:v>0.0594</c:v>
                </c:pt>
                <c:pt idx="76">
                  <c:v>0.059</c:v>
                </c:pt>
                <c:pt idx="77">
                  <c:v>0.0589</c:v>
                </c:pt>
                <c:pt idx="78">
                  <c:v>0.0595</c:v>
                </c:pt>
                <c:pt idx="79">
                  <c:v>0.0593</c:v>
                </c:pt>
                <c:pt idx="80">
                  <c:v>0.0592</c:v>
                </c:pt>
                <c:pt idx="81">
                  <c:v>0.059</c:v>
                </c:pt>
                <c:pt idx="82">
                  <c:v>0.0595</c:v>
                </c:pt>
                <c:pt idx="83">
                  <c:v>0.0588</c:v>
                </c:pt>
                <c:pt idx="84">
                  <c:v>0.0591</c:v>
                </c:pt>
                <c:pt idx="85">
                  <c:v>0.0593</c:v>
                </c:pt>
                <c:pt idx="86">
                  <c:v>0.0591</c:v>
                </c:pt>
                <c:pt idx="87">
                  <c:v>0.0593</c:v>
                </c:pt>
                <c:pt idx="88">
                  <c:v>0.0592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112">
                  <c:v>0.055</c:v>
                </c:pt>
                <c:pt idx="113">
                  <c:v>0.055</c:v>
                </c:pt>
                <c:pt idx="114">
                  <c:v>0.055</c:v>
                </c:pt>
                <c:pt idx="115">
                  <c:v>0.055</c:v>
                </c:pt>
                <c:pt idx="116">
                  <c:v>0.055</c:v>
                </c:pt>
                <c:pt idx="117">
                  <c:v>0.055</c:v>
                </c:pt>
                <c:pt idx="118">
                  <c:v>0.055</c:v>
                </c:pt>
                <c:pt idx="136">
                  <c:v>0.0718</c:v>
                </c:pt>
                <c:pt idx="137">
                  <c:v>0.071</c:v>
                </c:pt>
                <c:pt idx="138">
                  <c:v>0.071</c:v>
                </c:pt>
                <c:pt idx="139">
                  <c:v>0.072</c:v>
                </c:pt>
                <c:pt idx="140">
                  <c:v>0.0719</c:v>
                </c:pt>
                <c:pt idx="141">
                  <c:v>0.0719</c:v>
                </c:pt>
                <c:pt idx="142">
                  <c:v>0.0719</c:v>
                </c:pt>
                <c:pt idx="143">
                  <c:v>0.0718</c:v>
                </c:pt>
                <c:pt idx="144">
                  <c:v>0.0718</c:v>
                </c:pt>
                <c:pt idx="145">
                  <c:v>0.0718</c:v>
                </c:pt>
                <c:pt idx="146">
                  <c:v>0.0718</c:v>
                </c:pt>
                <c:pt idx="147">
                  <c:v>0.0718</c:v>
                </c:pt>
                <c:pt idx="148">
                  <c:v>0.0718</c:v>
                </c:pt>
                <c:pt idx="149">
                  <c:v>0.0718</c:v>
                </c:pt>
                <c:pt idx="150">
                  <c:v>0.0718</c:v>
                </c:pt>
                <c:pt idx="156">
                  <c:v>0.0779</c:v>
                </c:pt>
                <c:pt idx="157">
                  <c:v>0.0769</c:v>
                </c:pt>
                <c:pt idx="158">
                  <c:v>0.0769</c:v>
                </c:pt>
                <c:pt idx="159">
                  <c:v>0.077</c:v>
                </c:pt>
                <c:pt idx="160">
                  <c:v>0.0728</c:v>
                </c:pt>
                <c:pt idx="161">
                  <c:v>0.0724</c:v>
                </c:pt>
                <c:pt idx="162">
                  <c:v>0.0722</c:v>
                </c:pt>
                <c:pt idx="163">
                  <c:v>0.0725</c:v>
                </c:pt>
                <c:pt idx="164">
                  <c:v>0.0724</c:v>
                </c:pt>
                <c:pt idx="165">
                  <c:v>0.0744</c:v>
                </c:pt>
                <c:pt idx="166">
                  <c:v>0.0755</c:v>
                </c:pt>
                <c:pt idx="167">
                  <c:v>0.0755</c:v>
                </c:pt>
                <c:pt idx="168">
                  <c:v>0.0698</c:v>
                </c:pt>
                <c:pt idx="169">
                  <c:v>0.0697</c:v>
                </c:pt>
                <c:pt idx="170">
                  <c:v>0.0697</c:v>
                </c:pt>
                <c:pt idx="171">
                  <c:v>0.0696</c:v>
                </c:pt>
                <c:pt idx="172">
                  <c:v>0.0696</c:v>
                </c:pt>
                <c:pt idx="173">
                  <c:v>0.069</c:v>
                </c:pt>
                <c:pt idx="174">
                  <c:v>0.0729</c:v>
                </c:pt>
                <c:pt idx="175">
                  <c:v>0.0685</c:v>
                </c:pt>
                <c:pt idx="176">
                  <c:v>0.0676</c:v>
                </c:pt>
                <c:pt idx="177">
                  <c:v>0.0668</c:v>
                </c:pt>
                <c:pt idx="178">
                  <c:v>0.0668</c:v>
                </c:pt>
                <c:pt idx="179">
                  <c:v>0.0668</c:v>
                </c:pt>
                <c:pt idx="180">
                  <c:v>0.0669</c:v>
                </c:pt>
                <c:pt idx="181">
                  <c:v>0.0664</c:v>
                </c:pt>
                <c:pt idx="182">
                  <c:v>0.0656</c:v>
                </c:pt>
                <c:pt idx="183">
                  <c:v>0.0644</c:v>
                </c:pt>
                <c:pt idx="184">
                  <c:v>0.0622</c:v>
                </c:pt>
                <c:pt idx="185">
                  <c:v>0.0637</c:v>
                </c:pt>
                <c:pt idx="186">
                  <c:v>0.0634</c:v>
                </c:pt>
                <c:pt idx="187">
                  <c:v>0.0637</c:v>
                </c:pt>
                <c:pt idx="188">
                  <c:v>0.0609</c:v>
                </c:pt>
                <c:pt idx="189">
                  <c:v>0.0606</c:v>
                </c:pt>
                <c:pt idx="190">
                  <c:v>0.0621</c:v>
                </c:pt>
                <c:pt idx="191">
                  <c:v>0.0615</c:v>
                </c:pt>
                <c:pt idx="192">
                  <c:v>0.0624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'1D AZIR və 1W AZIR'!$F$2:$H$2</c:f>
              <c:strCache>
                <c:ptCount val="1"/>
                <c:pt idx="0">
                  <c:v>1W AZIR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'1D AZIR və 1W AZIR'!$B$4:$B$215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45184</c:v>
                </c:pt>
                <c:pt idx="94" c:formatCode="m/d/yyyy">
                  <c:v>45187</c:v>
                </c:pt>
                <c:pt idx="95" c:formatCode="m/d/yyyy">
                  <c:v>45188</c:v>
                </c:pt>
                <c:pt idx="96" c:formatCode="m/d/yyyy">
                  <c:v>45189</c:v>
                </c:pt>
                <c:pt idx="97" c:formatCode="m/d/yyyy">
                  <c:v>45190</c:v>
                </c:pt>
                <c:pt idx="98" c:formatCode="m/d/yyyy">
                  <c:v>45191</c:v>
                </c:pt>
                <c:pt idx="99" c:formatCode="m/d/yyyy">
                  <c:v>45194</c:v>
                </c:pt>
                <c:pt idx="100" c:formatCode="m/d/yyyy">
                  <c:v>45195</c:v>
                </c:pt>
                <c:pt idx="101" c:formatCode="m/d/yyyy">
                  <c:v>45196</c:v>
                </c:pt>
                <c:pt idx="102" c:formatCode="m/d/yyyy">
                  <c:v>45197</c:v>
                </c:pt>
                <c:pt idx="103" c:formatCode="m/d/yyyy">
                  <c:v>45198</c:v>
                </c:pt>
                <c:pt idx="104" c:formatCode="m/d/yyyy">
                  <c:v>45201</c:v>
                </c:pt>
                <c:pt idx="105" c:formatCode="m/d/yyyy">
                  <c:v>45202</c:v>
                </c:pt>
                <c:pt idx="106" c:formatCode="m/d/yyyy">
                  <c:v>45203</c:v>
                </c:pt>
                <c:pt idx="107" c:formatCode="m/d/yyyy">
                  <c:v>45204</c:v>
                </c:pt>
                <c:pt idx="108" c:formatCode="m/d/yyyy">
                  <c:v>45205</c:v>
                </c:pt>
                <c:pt idx="109" c:formatCode="m/d/yyyy">
                  <c:v>45208</c:v>
                </c:pt>
                <c:pt idx="110" c:formatCode="m/d/yyyy">
                  <c:v>45209</c:v>
                </c:pt>
                <c:pt idx="111" c:formatCode="m/d/yyyy">
                  <c:v>45210</c:v>
                </c:pt>
                <c:pt idx="112" c:formatCode="m/d/yyyy">
                  <c:v>45211</c:v>
                </c:pt>
                <c:pt idx="113" c:formatCode="m/d/yyyy">
                  <c:v>45212</c:v>
                </c:pt>
                <c:pt idx="114" c:formatCode="m/d/yyyy">
                  <c:v>45215</c:v>
                </c:pt>
                <c:pt idx="115" c:formatCode="m/d/yyyy">
                  <c:v>45216</c:v>
                </c:pt>
                <c:pt idx="116" c:formatCode="m/d/yyyy">
                  <c:v>45217</c:v>
                </c:pt>
                <c:pt idx="117" c:formatCode="m/d/yyyy">
                  <c:v>45218</c:v>
                </c:pt>
                <c:pt idx="118" c:formatCode="m/d/yyyy">
                  <c:v>45219</c:v>
                </c:pt>
                <c:pt idx="119" c:formatCode="m/d/yyyy">
                  <c:v>45222</c:v>
                </c:pt>
                <c:pt idx="120" c:formatCode="m/d/yyyy">
                  <c:v>45223</c:v>
                </c:pt>
                <c:pt idx="121" c:formatCode="m/d/yyyy">
                  <c:v>45224</c:v>
                </c:pt>
                <c:pt idx="122" c:formatCode="m/d/yyyy">
                  <c:v>45225</c:v>
                </c:pt>
                <c:pt idx="123" c:formatCode="m/d/yyyy">
                  <c:v>45226</c:v>
                </c:pt>
                <c:pt idx="124" c:formatCode="m/d/yyyy">
                  <c:v>45229</c:v>
                </c:pt>
                <c:pt idx="125" c:formatCode="m/d/yyyy">
                  <c:v>45230</c:v>
                </c:pt>
                <c:pt idx="126" c:formatCode="m/d/yyyy">
                  <c:v>45231</c:v>
                </c:pt>
                <c:pt idx="127" c:formatCode="m/d/yyyy">
                  <c:v>45232</c:v>
                </c:pt>
                <c:pt idx="128" c:formatCode="m/d/yyyy">
                  <c:v>45233</c:v>
                </c:pt>
                <c:pt idx="129" c:formatCode="m/d/yyyy">
                  <c:v>45234</c:v>
                </c:pt>
                <c:pt idx="130" c:formatCode="m/d/yyyy">
                  <c:v>45236</c:v>
                </c:pt>
                <c:pt idx="131" c:formatCode="m/d/yyyy">
                  <c:v>45237</c:v>
                </c:pt>
                <c:pt idx="132" c:formatCode="m/d/yyyy">
                  <c:v>45243</c:v>
                </c:pt>
                <c:pt idx="133" c:formatCode="m/d/yyyy">
                  <c:v>45244</c:v>
                </c:pt>
                <c:pt idx="134" c:formatCode="m/d/yyyy">
                  <c:v>45245</c:v>
                </c:pt>
                <c:pt idx="135" c:formatCode="m/d/yyyy">
                  <c:v>45246</c:v>
                </c:pt>
                <c:pt idx="136" c:formatCode="m/d/yyyy">
                  <c:v>45247</c:v>
                </c:pt>
                <c:pt idx="137" c:formatCode="m/d/yyyy">
                  <c:v>45250</c:v>
                </c:pt>
                <c:pt idx="138" c:formatCode="m/d/yyyy">
                  <c:v>45251</c:v>
                </c:pt>
                <c:pt idx="139" c:formatCode="m/d/yyyy">
                  <c:v>45252</c:v>
                </c:pt>
                <c:pt idx="140" c:formatCode="m/d/yyyy">
                  <c:v>45253</c:v>
                </c:pt>
                <c:pt idx="141" c:formatCode="m/d/yyyy">
                  <c:v>45254</c:v>
                </c:pt>
                <c:pt idx="142" c:formatCode="m/d/yyyy">
                  <c:v>45257</c:v>
                </c:pt>
                <c:pt idx="143" c:formatCode="m/d/yyyy">
                  <c:v>45258</c:v>
                </c:pt>
                <c:pt idx="144" c:formatCode="m/d/yyyy">
                  <c:v>45259</c:v>
                </c:pt>
                <c:pt idx="145" c:formatCode="m/d/yyyy">
                  <c:v>45260</c:v>
                </c:pt>
                <c:pt idx="146" c:formatCode="m/d/yyyy">
                  <c:v>45261</c:v>
                </c:pt>
                <c:pt idx="147" c:formatCode="m/d/yyyy">
                  <c:v>45264</c:v>
                </c:pt>
                <c:pt idx="148" c:formatCode="m/d/yyyy">
                  <c:v>45265</c:v>
                </c:pt>
                <c:pt idx="149" c:formatCode="m/d/yyyy">
                  <c:v>45266</c:v>
                </c:pt>
                <c:pt idx="150" c:formatCode="m/d/yyyy">
                  <c:v>45267</c:v>
                </c:pt>
                <c:pt idx="151" c:formatCode="m/d/yyyy">
                  <c:v>45268</c:v>
                </c:pt>
                <c:pt idx="152" c:formatCode="m/d/yyyy">
                  <c:v>45271</c:v>
                </c:pt>
                <c:pt idx="153" c:formatCode="m/d/yyyy">
                  <c:v>45272</c:v>
                </c:pt>
                <c:pt idx="154" c:formatCode="m/d/yyyy">
                  <c:v>45273</c:v>
                </c:pt>
                <c:pt idx="155" c:formatCode="m/d/yyyy">
                  <c:v>45274</c:v>
                </c:pt>
                <c:pt idx="156" c:formatCode="m/d/yyyy">
                  <c:v>45275</c:v>
                </c:pt>
                <c:pt idx="157" c:formatCode="m/d/yyyy">
                  <c:v>45278</c:v>
                </c:pt>
                <c:pt idx="158" c:formatCode="m/d/yyyy">
                  <c:v>45279</c:v>
                </c:pt>
                <c:pt idx="159" c:formatCode="m/d/yyyy">
                  <c:v>45280</c:v>
                </c:pt>
                <c:pt idx="160" c:formatCode="m/d/yyyy">
                  <c:v>45281</c:v>
                </c:pt>
                <c:pt idx="161" c:formatCode="m/d/yyyy">
                  <c:v>45282</c:v>
                </c:pt>
                <c:pt idx="162" c:formatCode="m/d/yyyy">
                  <c:v>45285</c:v>
                </c:pt>
                <c:pt idx="163" c:formatCode="m/d/yyyy">
                  <c:v>45286</c:v>
                </c:pt>
                <c:pt idx="164" c:formatCode="m/d/yyyy">
                  <c:v>45287</c:v>
                </c:pt>
                <c:pt idx="165" c:formatCode="m/d/yyyy">
                  <c:v>45288</c:v>
                </c:pt>
                <c:pt idx="166" c:formatCode="m/d/yyyy">
                  <c:v>45289</c:v>
                </c:pt>
                <c:pt idx="167" c:formatCode="m/d/yyyy">
                  <c:v>45290</c:v>
                </c:pt>
                <c:pt idx="168" c:formatCode="m/d/yyyy">
                  <c:v>45298</c:v>
                </c:pt>
                <c:pt idx="169" c:formatCode="m/d/yyyy">
                  <c:v>45299</c:v>
                </c:pt>
                <c:pt idx="170" c:formatCode="m/d/yyyy">
                  <c:v>45300</c:v>
                </c:pt>
                <c:pt idx="171" c:formatCode="m/d/yyyy">
                  <c:v>45301</c:v>
                </c:pt>
                <c:pt idx="172" c:formatCode="m/d/yyyy">
                  <c:v>45302</c:v>
                </c:pt>
                <c:pt idx="173" c:formatCode="m/d/yyyy">
                  <c:v>45303</c:v>
                </c:pt>
                <c:pt idx="174" c:formatCode="m/d/yyyy">
                  <c:v>45306</c:v>
                </c:pt>
                <c:pt idx="175" c:formatCode="m/d/yyyy">
                  <c:v>45307</c:v>
                </c:pt>
                <c:pt idx="176" c:formatCode="m/d/yyyy">
                  <c:v>45308</c:v>
                </c:pt>
                <c:pt idx="177" c:formatCode="m/d/yyyy">
                  <c:v>45309</c:v>
                </c:pt>
                <c:pt idx="178" c:formatCode="m/d/yyyy">
                  <c:v>45310</c:v>
                </c:pt>
                <c:pt idx="179" c:formatCode="m/d/yyyy">
                  <c:v>45313</c:v>
                </c:pt>
                <c:pt idx="180" c:formatCode="m/d/yyyy">
                  <c:v>45314</c:v>
                </c:pt>
                <c:pt idx="181" c:formatCode="m/d/yyyy">
                  <c:v>45315</c:v>
                </c:pt>
                <c:pt idx="182" c:formatCode="m/d/yyyy">
                  <c:v>45316</c:v>
                </c:pt>
                <c:pt idx="183" c:formatCode="m/d/yyyy">
                  <c:v>45317</c:v>
                </c:pt>
                <c:pt idx="184" c:formatCode="m/d/yyyy">
                  <c:v>45320</c:v>
                </c:pt>
                <c:pt idx="185" c:formatCode="m/d/yyyy">
                  <c:v>45321</c:v>
                </c:pt>
                <c:pt idx="186" c:formatCode="m/d/yyyy">
                  <c:v>45322</c:v>
                </c:pt>
                <c:pt idx="187" c:formatCode="m/d/yyyy">
                  <c:v>45323</c:v>
                </c:pt>
                <c:pt idx="188" c:formatCode="m/d/yyyy">
                  <c:v>45324</c:v>
                </c:pt>
                <c:pt idx="189" c:formatCode="m/d/yyyy">
                  <c:v>45327</c:v>
                </c:pt>
                <c:pt idx="190" c:formatCode="m/d/yyyy">
                  <c:v>45328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AZIR'!$F$4:$F$215</c:f>
              <c:numCache>
                <c:formatCode>0.00%</c:formatCode>
                <c:ptCount val="212"/>
                <c:pt idx="1">
                  <c:v>0.0549</c:v>
                </c:pt>
                <c:pt idx="2">
                  <c:v>0.0549</c:v>
                </c:pt>
                <c:pt idx="3">
                  <c:v>0.0575</c:v>
                </c:pt>
                <c:pt idx="4">
                  <c:v>0.0575</c:v>
                </c:pt>
                <c:pt idx="5">
                  <c:v>0.0575</c:v>
                </c:pt>
                <c:pt idx="6">
                  <c:v>0.0593</c:v>
                </c:pt>
                <c:pt idx="7">
                  <c:v>0.0593</c:v>
                </c:pt>
                <c:pt idx="8">
                  <c:v>0.0575</c:v>
                </c:pt>
                <c:pt idx="9">
                  <c:v>0.0575</c:v>
                </c:pt>
                <c:pt idx="10">
                  <c:v>0.0575</c:v>
                </c:pt>
                <c:pt idx="11">
                  <c:v>0.0593</c:v>
                </c:pt>
                <c:pt idx="12">
                  <c:v>0.0593</c:v>
                </c:pt>
                <c:pt idx="13">
                  <c:v>0.0593</c:v>
                </c:pt>
                <c:pt idx="14">
                  <c:v>0.0593</c:v>
                </c:pt>
                <c:pt idx="15">
                  <c:v>0.0593</c:v>
                </c:pt>
                <c:pt idx="16">
                  <c:v>0.0575</c:v>
                </c:pt>
                <c:pt idx="17">
                  <c:v>0.0575</c:v>
                </c:pt>
                <c:pt idx="18">
                  <c:v>0.0575</c:v>
                </c:pt>
                <c:pt idx="19">
                  <c:v>0.0575</c:v>
                </c:pt>
                <c:pt idx="20">
                  <c:v>0.0575</c:v>
                </c:pt>
                <c:pt idx="21">
                  <c:v>0.0575</c:v>
                </c:pt>
                <c:pt idx="22">
                  <c:v>0.0575</c:v>
                </c:pt>
                <c:pt idx="25">
                  <c:v>0.0575</c:v>
                </c:pt>
                <c:pt idx="26">
                  <c:v>0.0575</c:v>
                </c:pt>
                <c:pt idx="27">
                  <c:v>0.0575</c:v>
                </c:pt>
                <c:pt idx="28">
                  <c:v>0.0575</c:v>
                </c:pt>
                <c:pt idx="29">
                  <c:v>0.0575</c:v>
                </c:pt>
                <c:pt idx="30">
                  <c:v>0.0575</c:v>
                </c:pt>
                <c:pt idx="31">
                  <c:v>0.0575</c:v>
                </c:pt>
                <c:pt idx="32">
                  <c:v>0.0575</c:v>
                </c:pt>
                <c:pt idx="33">
                  <c:v>0.0575</c:v>
                </c:pt>
                <c:pt idx="34">
                  <c:v>0.0575</c:v>
                </c:pt>
                <c:pt idx="35">
                  <c:v>0.0575</c:v>
                </c:pt>
                <c:pt idx="36">
                  <c:v>0.0575</c:v>
                </c:pt>
                <c:pt idx="38">
                  <c:v>0.0517</c:v>
                </c:pt>
                <c:pt idx="39">
                  <c:v>0.0575</c:v>
                </c:pt>
                <c:pt idx="40">
                  <c:v>0.0575</c:v>
                </c:pt>
                <c:pt idx="41">
                  <c:v>0.0575</c:v>
                </c:pt>
                <c:pt idx="42">
                  <c:v>0.0575</c:v>
                </c:pt>
                <c:pt idx="43">
                  <c:v>0.0575</c:v>
                </c:pt>
                <c:pt idx="44">
                  <c:v>0.0575</c:v>
                </c:pt>
                <c:pt idx="45">
                  <c:v>0.0575</c:v>
                </c:pt>
                <c:pt idx="46">
                  <c:v>0.0575</c:v>
                </c:pt>
                <c:pt idx="47">
                  <c:v>0.0575</c:v>
                </c:pt>
                <c:pt idx="48">
                  <c:v>0.0575</c:v>
                </c:pt>
                <c:pt idx="49">
                  <c:v>0.0575</c:v>
                </c:pt>
                <c:pt idx="50">
                  <c:v>0.0575</c:v>
                </c:pt>
                <c:pt idx="51">
                  <c:v>0.0575</c:v>
                </c:pt>
                <c:pt idx="52">
                  <c:v>0.0575</c:v>
                </c:pt>
                <c:pt idx="53">
                  <c:v>0.0575</c:v>
                </c:pt>
                <c:pt idx="54">
                  <c:v>0.0575</c:v>
                </c:pt>
                <c:pt idx="55">
                  <c:v>0.0575</c:v>
                </c:pt>
                <c:pt idx="56">
                  <c:v>0.0575</c:v>
                </c:pt>
                <c:pt idx="57">
                  <c:v>0.0575</c:v>
                </c:pt>
                <c:pt idx="58">
                  <c:v>0.0575</c:v>
                </c:pt>
                <c:pt idx="59">
                  <c:v>0.0575</c:v>
                </c:pt>
                <c:pt idx="60">
                  <c:v>0.0575</c:v>
                </c:pt>
                <c:pt idx="61">
                  <c:v>0.0575</c:v>
                </c:pt>
                <c:pt idx="167">
                  <c:v>0.0741</c:v>
                </c:pt>
                <c:pt idx="168">
                  <c:v>0.0741</c:v>
                </c:pt>
                <c:pt idx="169">
                  <c:v>0.067</c:v>
                </c:pt>
                <c:pt idx="170">
                  <c:v>0.067</c:v>
                </c:pt>
                <c:pt idx="171">
                  <c:v>0.067</c:v>
                </c:pt>
                <c:pt idx="172">
                  <c:v>0.067</c:v>
                </c:pt>
                <c:pt idx="173">
                  <c:v>0.067</c:v>
                </c:pt>
                <c:pt idx="174">
                  <c:v>0.067</c:v>
                </c:pt>
                <c:pt idx="175">
                  <c:v>0.067</c:v>
                </c:pt>
                <c:pt idx="176">
                  <c:v>0.067</c:v>
                </c:pt>
                <c:pt idx="179">
                  <c:v>0.067</c:v>
                </c:pt>
                <c:pt idx="180">
                  <c:v>0.067</c:v>
                </c:pt>
                <c:pt idx="181">
                  <c:v>0.067</c:v>
                </c:pt>
                <c:pt idx="182">
                  <c:v>0.067</c:v>
                </c:pt>
                <c:pt idx="183">
                  <c:v>0.067</c:v>
                </c:pt>
                <c:pt idx="184">
                  <c:v>0.067</c:v>
                </c:pt>
                <c:pt idx="185">
                  <c:v>0.067</c:v>
                </c:pt>
                <c:pt idx="186">
                  <c:v>0.067</c:v>
                </c:pt>
                <c:pt idx="187">
                  <c:v>0.067</c:v>
                </c:pt>
                <c:pt idx="211" c:formatCode="#,##0_);\(#,##0\)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2097184"/>
        <c:axId val="302101760"/>
      </c:lineChart>
      <c:dateAx>
        <c:axId val="30209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302101760"/>
        <c:crosses val="autoZero"/>
        <c:auto val="1"/>
        <c:lblOffset val="100"/>
        <c:baseTimeUnit val="days"/>
        <c:majorUnit val="10"/>
        <c:majorTimeUnit val="days"/>
      </c:dateAx>
      <c:valAx>
        <c:axId val="302101760"/>
        <c:scaling>
          <c:orientation val="minMax"/>
          <c:min val="0.045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3020971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a2a68b-5faf-4d9c-a5bc-4c1b0e6406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az-Latn-AZ" sz="1800" b="1">
                <a:solidFill>
                  <a:schemeClr val="tx1"/>
                </a:solidFill>
              </a:rPr>
              <a:t>AZIR* indekslərinin faiz dinamikası</a:t>
            </a:r>
            <a:endParaRPr lang="en-US" sz="1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11239395358866"/>
          <c:y val="0.0383321966643933"/>
        </c:manualLayout>
      </c:layout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1831685932875"/>
          <c:y val="0.126700071581961"/>
          <c:w val="0.895488994273443"/>
          <c:h val="0.560171283370455"/>
        </c:manualLayout>
      </c:layout>
      <c:lineChart>
        <c:grouping val="standard"/>
        <c:varyColors val="0"/>
        <c:ser>
          <c:idx val="0"/>
          <c:order val="0"/>
          <c:tx>
            <c:strRef>
              <c:f>'1D AZIR və 1W AZIR %'!$C$2</c:f>
              <c:strCache>
                <c:ptCount val="1"/>
                <c:pt idx="0">
                  <c:v>1D AZIR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'1D AZIR və 1W AZIR %'!$B$3:$B$214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45184</c:v>
                </c:pt>
                <c:pt idx="94" c:formatCode="m/d/yyyy">
                  <c:v>45187</c:v>
                </c:pt>
                <c:pt idx="95" c:formatCode="m/d/yyyy">
                  <c:v>45188</c:v>
                </c:pt>
                <c:pt idx="96" c:formatCode="m/d/yyyy">
                  <c:v>45189</c:v>
                </c:pt>
                <c:pt idx="97" c:formatCode="m/d/yyyy">
                  <c:v>45190</c:v>
                </c:pt>
                <c:pt idx="98" c:formatCode="m/d/yyyy">
                  <c:v>45191</c:v>
                </c:pt>
                <c:pt idx="99" c:formatCode="m/d/yyyy">
                  <c:v>45194</c:v>
                </c:pt>
                <c:pt idx="100" c:formatCode="m/d/yyyy">
                  <c:v>45195</c:v>
                </c:pt>
                <c:pt idx="101" c:formatCode="m/d/yyyy">
                  <c:v>45196</c:v>
                </c:pt>
                <c:pt idx="102" c:formatCode="m/d/yyyy">
                  <c:v>45197</c:v>
                </c:pt>
                <c:pt idx="103" c:formatCode="m/d/yyyy">
                  <c:v>45198</c:v>
                </c:pt>
                <c:pt idx="104" c:formatCode="m/d/yyyy">
                  <c:v>45201</c:v>
                </c:pt>
                <c:pt idx="105" c:formatCode="m/d/yyyy">
                  <c:v>45202</c:v>
                </c:pt>
                <c:pt idx="106" c:formatCode="m/d/yyyy">
                  <c:v>45203</c:v>
                </c:pt>
                <c:pt idx="107" c:formatCode="m/d/yyyy">
                  <c:v>45204</c:v>
                </c:pt>
                <c:pt idx="108" c:formatCode="m/d/yyyy">
                  <c:v>45205</c:v>
                </c:pt>
                <c:pt idx="109" c:formatCode="m/d/yyyy">
                  <c:v>45208</c:v>
                </c:pt>
                <c:pt idx="110" c:formatCode="m/d/yyyy">
                  <c:v>45209</c:v>
                </c:pt>
                <c:pt idx="111" c:formatCode="m/d/yyyy">
                  <c:v>45210</c:v>
                </c:pt>
                <c:pt idx="112" c:formatCode="m/d/yyyy">
                  <c:v>45211</c:v>
                </c:pt>
                <c:pt idx="113" c:formatCode="m/d/yyyy">
                  <c:v>45212</c:v>
                </c:pt>
                <c:pt idx="114" c:formatCode="m/d/yyyy">
                  <c:v>45215</c:v>
                </c:pt>
                <c:pt idx="115" c:formatCode="m/d/yyyy">
                  <c:v>45216</c:v>
                </c:pt>
                <c:pt idx="116" c:formatCode="m/d/yyyy">
                  <c:v>45217</c:v>
                </c:pt>
                <c:pt idx="117" c:formatCode="m/d/yyyy">
                  <c:v>45218</c:v>
                </c:pt>
                <c:pt idx="118" c:formatCode="m/d/yyyy">
                  <c:v>45219</c:v>
                </c:pt>
                <c:pt idx="119" c:formatCode="m/d/yyyy">
                  <c:v>45222</c:v>
                </c:pt>
                <c:pt idx="120" c:formatCode="m/d/yyyy">
                  <c:v>45223</c:v>
                </c:pt>
                <c:pt idx="121" c:formatCode="m/d/yyyy">
                  <c:v>45224</c:v>
                </c:pt>
                <c:pt idx="122" c:formatCode="m/d/yyyy">
                  <c:v>45225</c:v>
                </c:pt>
                <c:pt idx="123" c:formatCode="m/d/yyyy">
                  <c:v>45226</c:v>
                </c:pt>
                <c:pt idx="124" c:formatCode="m/d/yyyy">
                  <c:v>45229</c:v>
                </c:pt>
                <c:pt idx="125" c:formatCode="m/d/yyyy">
                  <c:v>45230</c:v>
                </c:pt>
                <c:pt idx="126" c:formatCode="m/d/yyyy">
                  <c:v>45231</c:v>
                </c:pt>
                <c:pt idx="127" c:formatCode="m/d/yyyy">
                  <c:v>45232</c:v>
                </c:pt>
                <c:pt idx="128" c:formatCode="m/d/yyyy">
                  <c:v>45233</c:v>
                </c:pt>
                <c:pt idx="129" c:formatCode="m/d/yyyy">
                  <c:v>45234</c:v>
                </c:pt>
                <c:pt idx="130" c:formatCode="m/d/yyyy">
                  <c:v>45236</c:v>
                </c:pt>
                <c:pt idx="131" c:formatCode="m/d/yyyy">
                  <c:v>45237</c:v>
                </c:pt>
                <c:pt idx="132" c:formatCode="m/d/yyyy">
                  <c:v>45243</c:v>
                </c:pt>
                <c:pt idx="133" c:formatCode="m/d/yyyy">
                  <c:v>45244</c:v>
                </c:pt>
                <c:pt idx="134" c:formatCode="m/d/yyyy">
                  <c:v>45245</c:v>
                </c:pt>
                <c:pt idx="135" c:formatCode="m/d/yyyy">
                  <c:v>45246</c:v>
                </c:pt>
                <c:pt idx="136" c:formatCode="m/d/yyyy">
                  <c:v>45247</c:v>
                </c:pt>
                <c:pt idx="137" c:formatCode="m/d/yyyy">
                  <c:v>45250</c:v>
                </c:pt>
                <c:pt idx="138" c:formatCode="m/d/yyyy">
                  <c:v>45251</c:v>
                </c:pt>
                <c:pt idx="139" c:formatCode="m/d/yyyy">
                  <c:v>45252</c:v>
                </c:pt>
                <c:pt idx="140" c:formatCode="m/d/yyyy">
                  <c:v>45253</c:v>
                </c:pt>
                <c:pt idx="141" c:formatCode="m/d/yyyy">
                  <c:v>45254</c:v>
                </c:pt>
                <c:pt idx="142" c:formatCode="m/d/yyyy">
                  <c:v>45257</c:v>
                </c:pt>
                <c:pt idx="143" c:formatCode="m/d/yyyy">
                  <c:v>45258</c:v>
                </c:pt>
                <c:pt idx="144" c:formatCode="m/d/yyyy">
                  <c:v>45259</c:v>
                </c:pt>
                <c:pt idx="145" c:formatCode="m/d/yyyy">
                  <c:v>45260</c:v>
                </c:pt>
                <c:pt idx="146" c:formatCode="m/d/yyyy">
                  <c:v>45261</c:v>
                </c:pt>
                <c:pt idx="147" c:formatCode="m/d/yyyy">
                  <c:v>45264</c:v>
                </c:pt>
                <c:pt idx="148" c:formatCode="m/d/yyyy">
                  <c:v>45265</c:v>
                </c:pt>
                <c:pt idx="149" c:formatCode="m/d/yyyy">
                  <c:v>45266</c:v>
                </c:pt>
                <c:pt idx="150" c:formatCode="m/d/yyyy">
                  <c:v>45267</c:v>
                </c:pt>
                <c:pt idx="151" c:formatCode="m/d/yyyy">
                  <c:v>45268</c:v>
                </c:pt>
                <c:pt idx="152" c:formatCode="m/d/yyyy">
                  <c:v>45271</c:v>
                </c:pt>
                <c:pt idx="153" c:formatCode="m/d/yyyy">
                  <c:v>45272</c:v>
                </c:pt>
                <c:pt idx="154" c:formatCode="m/d/yyyy">
                  <c:v>45273</c:v>
                </c:pt>
                <c:pt idx="155" c:formatCode="m/d/yyyy">
                  <c:v>45274</c:v>
                </c:pt>
                <c:pt idx="156" c:formatCode="m/d/yyyy">
                  <c:v>45275</c:v>
                </c:pt>
                <c:pt idx="157" c:formatCode="m/d/yyyy">
                  <c:v>45278</c:v>
                </c:pt>
                <c:pt idx="158" c:formatCode="m/d/yyyy">
                  <c:v>45279</c:v>
                </c:pt>
                <c:pt idx="159" c:formatCode="m/d/yyyy">
                  <c:v>45280</c:v>
                </c:pt>
                <c:pt idx="160" c:formatCode="m/d/yyyy">
                  <c:v>45281</c:v>
                </c:pt>
                <c:pt idx="161" c:formatCode="m/d/yyyy">
                  <c:v>45282</c:v>
                </c:pt>
                <c:pt idx="162" c:formatCode="m/d/yyyy">
                  <c:v>45285</c:v>
                </c:pt>
                <c:pt idx="163" c:formatCode="m/d/yyyy">
                  <c:v>45286</c:v>
                </c:pt>
                <c:pt idx="164" c:formatCode="m/d/yyyy">
                  <c:v>45287</c:v>
                </c:pt>
                <c:pt idx="165" c:formatCode="m/d/yyyy">
                  <c:v>45288</c:v>
                </c:pt>
                <c:pt idx="166" c:formatCode="m/d/yyyy">
                  <c:v>45289</c:v>
                </c:pt>
                <c:pt idx="167" c:formatCode="m/d/yyyy">
                  <c:v>45290</c:v>
                </c:pt>
                <c:pt idx="168" c:formatCode="m/d/yyyy">
                  <c:v>45298</c:v>
                </c:pt>
                <c:pt idx="169" c:formatCode="m/d/yyyy">
                  <c:v>45299</c:v>
                </c:pt>
                <c:pt idx="170" c:formatCode="m/d/yyyy">
                  <c:v>45300</c:v>
                </c:pt>
                <c:pt idx="171" c:formatCode="m/d/yyyy">
                  <c:v>45301</c:v>
                </c:pt>
                <c:pt idx="172" c:formatCode="m/d/yyyy">
                  <c:v>45302</c:v>
                </c:pt>
                <c:pt idx="173" c:formatCode="m/d/yyyy">
                  <c:v>45303</c:v>
                </c:pt>
                <c:pt idx="174" c:formatCode="m/d/yyyy">
                  <c:v>45306</c:v>
                </c:pt>
                <c:pt idx="175" c:formatCode="m/d/yyyy">
                  <c:v>45307</c:v>
                </c:pt>
                <c:pt idx="176" c:formatCode="m/d/yyyy">
                  <c:v>45308</c:v>
                </c:pt>
                <c:pt idx="177" c:formatCode="m/d/yyyy">
                  <c:v>45309</c:v>
                </c:pt>
                <c:pt idx="178" c:formatCode="m/d/yyyy">
                  <c:v>45310</c:v>
                </c:pt>
                <c:pt idx="179" c:formatCode="m/d/yyyy">
                  <c:v>45313</c:v>
                </c:pt>
                <c:pt idx="180" c:formatCode="m/d/yyyy">
                  <c:v>45314</c:v>
                </c:pt>
                <c:pt idx="181" c:formatCode="m/d/yyyy">
                  <c:v>45315</c:v>
                </c:pt>
                <c:pt idx="182" c:formatCode="m/d/yyyy">
                  <c:v>45316</c:v>
                </c:pt>
                <c:pt idx="183" c:formatCode="m/d/yyyy">
                  <c:v>45317</c:v>
                </c:pt>
                <c:pt idx="184" c:formatCode="m/d/yyyy">
                  <c:v>45320</c:v>
                </c:pt>
                <c:pt idx="185" c:formatCode="m/d/yyyy">
                  <c:v>45321</c:v>
                </c:pt>
                <c:pt idx="186" c:formatCode="m/d/yyyy">
                  <c:v>45322</c:v>
                </c:pt>
                <c:pt idx="187" c:formatCode="m/d/yyyy">
                  <c:v>45323</c:v>
                </c:pt>
                <c:pt idx="188" c:formatCode="m/d/yyyy">
                  <c:v>45324</c:v>
                </c:pt>
                <c:pt idx="189" c:formatCode="m/d/yyyy">
                  <c:v>45327</c:v>
                </c:pt>
                <c:pt idx="190" c:formatCode="m/d/yyyy">
                  <c:v>45328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 %'!$C$3:$C$214</c:f>
              <c:numCache>
                <c:formatCode>0.00%</c:formatCode>
                <c:ptCount val="212"/>
                <c:pt idx="0">
                  <c:v>0.0496928251121076</c:v>
                </c:pt>
                <c:pt idx="1">
                  <c:v>0.0494</c:v>
                </c:pt>
                <c:pt idx="2">
                  <c:v>0.0493</c:v>
                </c:pt>
                <c:pt idx="3">
                  <c:v>0.0535</c:v>
                </c:pt>
                <c:pt idx="4">
                  <c:v>0.0538</c:v>
                </c:pt>
                <c:pt idx="5">
                  <c:v>0.0535</c:v>
                </c:pt>
                <c:pt idx="6">
                  <c:v>0.0535</c:v>
                </c:pt>
                <c:pt idx="7">
                  <c:v>0.0537</c:v>
                </c:pt>
                <c:pt idx="8">
                  <c:v>0.0534</c:v>
                </c:pt>
                <c:pt idx="9">
                  <c:v>0.0538</c:v>
                </c:pt>
                <c:pt idx="10">
                  <c:v>0.0539</c:v>
                </c:pt>
                <c:pt idx="11">
                  <c:v>0.054</c:v>
                </c:pt>
                <c:pt idx="12">
                  <c:v>0.054</c:v>
                </c:pt>
                <c:pt idx="13">
                  <c:v>0.0536</c:v>
                </c:pt>
                <c:pt idx="14">
                  <c:v>0.0532</c:v>
                </c:pt>
                <c:pt idx="15">
                  <c:v>0.0538</c:v>
                </c:pt>
                <c:pt idx="16">
                  <c:v>0.055</c:v>
                </c:pt>
                <c:pt idx="17">
                  <c:v>0.0546</c:v>
                </c:pt>
                <c:pt idx="18">
                  <c:v>0.0546</c:v>
                </c:pt>
                <c:pt idx="19">
                  <c:v>0.0544</c:v>
                </c:pt>
                <c:pt idx="20">
                  <c:v>0.0546</c:v>
                </c:pt>
                <c:pt idx="21">
                  <c:v>0.054</c:v>
                </c:pt>
                <c:pt idx="22">
                  <c:v>0.0545</c:v>
                </c:pt>
                <c:pt idx="23">
                  <c:v>0.0548</c:v>
                </c:pt>
                <c:pt idx="24">
                  <c:v>0.0553</c:v>
                </c:pt>
                <c:pt idx="25">
                  <c:v>0.0545</c:v>
                </c:pt>
                <c:pt idx="26">
                  <c:v>0.0558</c:v>
                </c:pt>
                <c:pt idx="27">
                  <c:v>0.0556</c:v>
                </c:pt>
                <c:pt idx="28">
                  <c:v>0.0557</c:v>
                </c:pt>
                <c:pt idx="29">
                  <c:v>0.0565</c:v>
                </c:pt>
                <c:pt idx="30">
                  <c:v>0.0558</c:v>
                </c:pt>
                <c:pt idx="31">
                  <c:v>0.0558</c:v>
                </c:pt>
                <c:pt idx="32">
                  <c:v>0.0564</c:v>
                </c:pt>
                <c:pt idx="33">
                  <c:v>0.0564</c:v>
                </c:pt>
                <c:pt idx="34">
                  <c:v>0.0565</c:v>
                </c:pt>
                <c:pt idx="35">
                  <c:v>0.0563</c:v>
                </c:pt>
                <c:pt idx="36">
                  <c:v>0.0564</c:v>
                </c:pt>
                <c:pt idx="37">
                  <c:v>0.0563</c:v>
                </c:pt>
                <c:pt idx="38">
                  <c:v>0.0563</c:v>
                </c:pt>
                <c:pt idx="39">
                  <c:v>0.0567</c:v>
                </c:pt>
                <c:pt idx="40">
                  <c:v>0.0564</c:v>
                </c:pt>
                <c:pt idx="41">
                  <c:v>0.056</c:v>
                </c:pt>
                <c:pt idx="42">
                  <c:v>0.0567</c:v>
                </c:pt>
                <c:pt idx="43">
                  <c:v>0.0563</c:v>
                </c:pt>
                <c:pt idx="44">
                  <c:v>0.0558</c:v>
                </c:pt>
                <c:pt idx="45">
                  <c:v>0.0563</c:v>
                </c:pt>
                <c:pt idx="46">
                  <c:v>0.0567</c:v>
                </c:pt>
                <c:pt idx="47">
                  <c:v>0.0564</c:v>
                </c:pt>
                <c:pt idx="48">
                  <c:v>0.0568</c:v>
                </c:pt>
                <c:pt idx="49">
                  <c:v>0.0559</c:v>
                </c:pt>
                <c:pt idx="50">
                  <c:v>0.056</c:v>
                </c:pt>
                <c:pt idx="51">
                  <c:v>0.0569</c:v>
                </c:pt>
                <c:pt idx="52">
                  <c:v>0.0566</c:v>
                </c:pt>
                <c:pt idx="53">
                  <c:v>0.0571</c:v>
                </c:pt>
                <c:pt idx="54">
                  <c:v>0.0572</c:v>
                </c:pt>
                <c:pt idx="55">
                  <c:v>0.0568</c:v>
                </c:pt>
                <c:pt idx="56">
                  <c:v>0.0569</c:v>
                </c:pt>
                <c:pt idx="57">
                  <c:v>0.056</c:v>
                </c:pt>
                <c:pt idx="58">
                  <c:v>0.0553</c:v>
                </c:pt>
                <c:pt idx="59">
                  <c:v>0.0564</c:v>
                </c:pt>
                <c:pt idx="60">
                  <c:v>0.0563</c:v>
                </c:pt>
                <c:pt idx="61">
                  <c:v>0.0559</c:v>
                </c:pt>
                <c:pt idx="62">
                  <c:v>0.0564</c:v>
                </c:pt>
                <c:pt idx="63">
                  <c:v>0.0565</c:v>
                </c:pt>
                <c:pt idx="64">
                  <c:v>0.0567</c:v>
                </c:pt>
                <c:pt idx="65">
                  <c:v>0.0569</c:v>
                </c:pt>
                <c:pt idx="66">
                  <c:v>0.0576</c:v>
                </c:pt>
                <c:pt idx="67">
                  <c:v>0.0566</c:v>
                </c:pt>
                <c:pt idx="68">
                  <c:v>0.0571</c:v>
                </c:pt>
                <c:pt idx="69">
                  <c:v>0.0568</c:v>
                </c:pt>
                <c:pt idx="70">
                  <c:v>0.0601</c:v>
                </c:pt>
                <c:pt idx="71">
                  <c:v>0.0597</c:v>
                </c:pt>
                <c:pt idx="72">
                  <c:v>0.0594</c:v>
                </c:pt>
                <c:pt idx="73">
                  <c:v>0.0595</c:v>
                </c:pt>
                <c:pt idx="74">
                  <c:v>0.0594</c:v>
                </c:pt>
                <c:pt idx="75">
                  <c:v>0.0594</c:v>
                </c:pt>
                <c:pt idx="76">
                  <c:v>0.059</c:v>
                </c:pt>
                <c:pt idx="77">
                  <c:v>0.0589</c:v>
                </c:pt>
                <c:pt idx="78">
                  <c:v>0.0595</c:v>
                </c:pt>
                <c:pt idx="79">
                  <c:v>0.0593</c:v>
                </c:pt>
                <c:pt idx="80">
                  <c:v>0.0592</c:v>
                </c:pt>
                <c:pt idx="81">
                  <c:v>0.059</c:v>
                </c:pt>
                <c:pt idx="82">
                  <c:v>0.0595</c:v>
                </c:pt>
                <c:pt idx="83">
                  <c:v>0.0588</c:v>
                </c:pt>
                <c:pt idx="84">
                  <c:v>0.0591</c:v>
                </c:pt>
                <c:pt idx="85">
                  <c:v>0.0593</c:v>
                </c:pt>
                <c:pt idx="86">
                  <c:v>0.0591</c:v>
                </c:pt>
                <c:pt idx="87">
                  <c:v>0.0593</c:v>
                </c:pt>
                <c:pt idx="88">
                  <c:v>0.0592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112">
                  <c:v>0.055</c:v>
                </c:pt>
                <c:pt idx="113">
                  <c:v>0.055</c:v>
                </c:pt>
                <c:pt idx="114">
                  <c:v>0.055</c:v>
                </c:pt>
                <c:pt idx="115">
                  <c:v>0.055</c:v>
                </c:pt>
                <c:pt idx="116">
                  <c:v>0.055</c:v>
                </c:pt>
                <c:pt idx="117">
                  <c:v>0.055</c:v>
                </c:pt>
                <c:pt idx="118">
                  <c:v>0.055</c:v>
                </c:pt>
                <c:pt idx="136">
                  <c:v>0.0718</c:v>
                </c:pt>
                <c:pt idx="137">
                  <c:v>0.071</c:v>
                </c:pt>
                <c:pt idx="138">
                  <c:v>0.071</c:v>
                </c:pt>
                <c:pt idx="139">
                  <c:v>0.072</c:v>
                </c:pt>
                <c:pt idx="140">
                  <c:v>0.0719</c:v>
                </c:pt>
                <c:pt idx="141">
                  <c:v>0.0719</c:v>
                </c:pt>
                <c:pt idx="142">
                  <c:v>0.0719</c:v>
                </c:pt>
                <c:pt idx="143">
                  <c:v>0.0718</c:v>
                </c:pt>
                <c:pt idx="144">
                  <c:v>0.0718</c:v>
                </c:pt>
                <c:pt idx="145">
                  <c:v>0.0718</c:v>
                </c:pt>
                <c:pt idx="146">
                  <c:v>0.0718</c:v>
                </c:pt>
                <c:pt idx="147">
                  <c:v>0.0718</c:v>
                </c:pt>
                <c:pt idx="148">
                  <c:v>0.0718</c:v>
                </c:pt>
                <c:pt idx="149">
                  <c:v>0.0718</c:v>
                </c:pt>
                <c:pt idx="150">
                  <c:v>0.0718</c:v>
                </c:pt>
                <c:pt idx="156">
                  <c:v>0.0779</c:v>
                </c:pt>
                <c:pt idx="157">
                  <c:v>0.0769</c:v>
                </c:pt>
                <c:pt idx="158">
                  <c:v>0.0769</c:v>
                </c:pt>
                <c:pt idx="159">
                  <c:v>0.077</c:v>
                </c:pt>
                <c:pt idx="160">
                  <c:v>0.0728</c:v>
                </c:pt>
                <c:pt idx="161">
                  <c:v>0.0724</c:v>
                </c:pt>
                <c:pt idx="162">
                  <c:v>0.0722</c:v>
                </c:pt>
                <c:pt idx="163">
                  <c:v>0.0725</c:v>
                </c:pt>
                <c:pt idx="164">
                  <c:v>0.0724</c:v>
                </c:pt>
                <c:pt idx="165">
                  <c:v>0.0744</c:v>
                </c:pt>
                <c:pt idx="166">
                  <c:v>0.0755</c:v>
                </c:pt>
                <c:pt idx="167">
                  <c:v>0.0755</c:v>
                </c:pt>
                <c:pt idx="168">
                  <c:v>0.0698</c:v>
                </c:pt>
                <c:pt idx="169">
                  <c:v>0.0697</c:v>
                </c:pt>
                <c:pt idx="170">
                  <c:v>0.0697</c:v>
                </c:pt>
                <c:pt idx="171">
                  <c:v>0.0696</c:v>
                </c:pt>
                <c:pt idx="172">
                  <c:v>0.0696</c:v>
                </c:pt>
                <c:pt idx="173">
                  <c:v>0.069</c:v>
                </c:pt>
                <c:pt idx="174">
                  <c:v>0.0729</c:v>
                </c:pt>
                <c:pt idx="175">
                  <c:v>0.0685</c:v>
                </c:pt>
                <c:pt idx="176">
                  <c:v>0.0676</c:v>
                </c:pt>
                <c:pt idx="177">
                  <c:v>0.0668</c:v>
                </c:pt>
                <c:pt idx="178">
                  <c:v>0.0668</c:v>
                </c:pt>
                <c:pt idx="179">
                  <c:v>0.0668</c:v>
                </c:pt>
                <c:pt idx="180">
                  <c:v>0.0669</c:v>
                </c:pt>
                <c:pt idx="181">
                  <c:v>0.0664</c:v>
                </c:pt>
                <c:pt idx="182">
                  <c:v>0.0656</c:v>
                </c:pt>
                <c:pt idx="183">
                  <c:v>0.0644</c:v>
                </c:pt>
                <c:pt idx="184">
                  <c:v>0.0622</c:v>
                </c:pt>
                <c:pt idx="185">
                  <c:v>0.0637</c:v>
                </c:pt>
                <c:pt idx="186">
                  <c:v>0.0634</c:v>
                </c:pt>
                <c:pt idx="187">
                  <c:v>0.0637</c:v>
                </c:pt>
                <c:pt idx="188">
                  <c:v>0.0609</c:v>
                </c:pt>
                <c:pt idx="189">
                  <c:v>0.0606</c:v>
                </c:pt>
                <c:pt idx="190">
                  <c:v>0.0621</c:v>
                </c:pt>
                <c:pt idx="191">
                  <c:v>0.0615</c:v>
                </c:pt>
                <c:pt idx="192">
                  <c:v>0.0624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'1D AZIR və 1W AZIR %'!$D$2</c:f>
              <c:strCache>
                <c:ptCount val="1"/>
                <c:pt idx="0">
                  <c:v>1W AZIR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'1D AZIR və 1W AZIR %'!$B$3:$B$214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45184</c:v>
                </c:pt>
                <c:pt idx="94" c:formatCode="m/d/yyyy">
                  <c:v>45187</c:v>
                </c:pt>
                <c:pt idx="95" c:formatCode="m/d/yyyy">
                  <c:v>45188</c:v>
                </c:pt>
                <c:pt idx="96" c:formatCode="m/d/yyyy">
                  <c:v>45189</c:v>
                </c:pt>
                <c:pt idx="97" c:formatCode="m/d/yyyy">
                  <c:v>45190</c:v>
                </c:pt>
                <c:pt idx="98" c:formatCode="m/d/yyyy">
                  <c:v>45191</c:v>
                </c:pt>
                <c:pt idx="99" c:formatCode="m/d/yyyy">
                  <c:v>45194</c:v>
                </c:pt>
                <c:pt idx="100" c:formatCode="m/d/yyyy">
                  <c:v>45195</c:v>
                </c:pt>
                <c:pt idx="101" c:formatCode="m/d/yyyy">
                  <c:v>45196</c:v>
                </c:pt>
                <c:pt idx="102" c:formatCode="m/d/yyyy">
                  <c:v>45197</c:v>
                </c:pt>
                <c:pt idx="103" c:formatCode="m/d/yyyy">
                  <c:v>45198</c:v>
                </c:pt>
                <c:pt idx="104" c:formatCode="m/d/yyyy">
                  <c:v>45201</c:v>
                </c:pt>
                <c:pt idx="105" c:formatCode="m/d/yyyy">
                  <c:v>45202</c:v>
                </c:pt>
                <c:pt idx="106" c:formatCode="m/d/yyyy">
                  <c:v>45203</c:v>
                </c:pt>
                <c:pt idx="107" c:formatCode="m/d/yyyy">
                  <c:v>45204</c:v>
                </c:pt>
                <c:pt idx="108" c:formatCode="m/d/yyyy">
                  <c:v>45205</c:v>
                </c:pt>
                <c:pt idx="109" c:formatCode="m/d/yyyy">
                  <c:v>45208</c:v>
                </c:pt>
                <c:pt idx="110" c:formatCode="m/d/yyyy">
                  <c:v>45209</c:v>
                </c:pt>
                <c:pt idx="111" c:formatCode="m/d/yyyy">
                  <c:v>45210</c:v>
                </c:pt>
                <c:pt idx="112" c:formatCode="m/d/yyyy">
                  <c:v>45211</c:v>
                </c:pt>
                <c:pt idx="113" c:formatCode="m/d/yyyy">
                  <c:v>45212</c:v>
                </c:pt>
                <c:pt idx="114" c:formatCode="m/d/yyyy">
                  <c:v>45215</c:v>
                </c:pt>
                <c:pt idx="115" c:formatCode="m/d/yyyy">
                  <c:v>45216</c:v>
                </c:pt>
                <c:pt idx="116" c:formatCode="m/d/yyyy">
                  <c:v>45217</c:v>
                </c:pt>
                <c:pt idx="117" c:formatCode="m/d/yyyy">
                  <c:v>45218</c:v>
                </c:pt>
                <c:pt idx="118" c:formatCode="m/d/yyyy">
                  <c:v>45219</c:v>
                </c:pt>
                <c:pt idx="119" c:formatCode="m/d/yyyy">
                  <c:v>45222</c:v>
                </c:pt>
                <c:pt idx="120" c:formatCode="m/d/yyyy">
                  <c:v>45223</c:v>
                </c:pt>
                <c:pt idx="121" c:formatCode="m/d/yyyy">
                  <c:v>45224</c:v>
                </c:pt>
                <c:pt idx="122" c:formatCode="m/d/yyyy">
                  <c:v>45225</c:v>
                </c:pt>
                <c:pt idx="123" c:formatCode="m/d/yyyy">
                  <c:v>45226</c:v>
                </c:pt>
                <c:pt idx="124" c:formatCode="m/d/yyyy">
                  <c:v>45229</c:v>
                </c:pt>
                <c:pt idx="125" c:formatCode="m/d/yyyy">
                  <c:v>45230</c:v>
                </c:pt>
                <c:pt idx="126" c:formatCode="m/d/yyyy">
                  <c:v>45231</c:v>
                </c:pt>
                <c:pt idx="127" c:formatCode="m/d/yyyy">
                  <c:v>45232</c:v>
                </c:pt>
                <c:pt idx="128" c:formatCode="m/d/yyyy">
                  <c:v>45233</c:v>
                </c:pt>
                <c:pt idx="129" c:formatCode="m/d/yyyy">
                  <c:v>45234</c:v>
                </c:pt>
                <c:pt idx="130" c:formatCode="m/d/yyyy">
                  <c:v>45236</c:v>
                </c:pt>
                <c:pt idx="131" c:formatCode="m/d/yyyy">
                  <c:v>45237</c:v>
                </c:pt>
                <c:pt idx="132" c:formatCode="m/d/yyyy">
                  <c:v>45243</c:v>
                </c:pt>
                <c:pt idx="133" c:formatCode="m/d/yyyy">
                  <c:v>45244</c:v>
                </c:pt>
                <c:pt idx="134" c:formatCode="m/d/yyyy">
                  <c:v>45245</c:v>
                </c:pt>
                <c:pt idx="135" c:formatCode="m/d/yyyy">
                  <c:v>45246</c:v>
                </c:pt>
                <c:pt idx="136" c:formatCode="m/d/yyyy">
                  <c:v>45247</c:v>
                </c:pt>
                <c:pt idx="137" c:formatCode="m/d/yyyy">
                  <c:v>45250</c:v>
                </c:pt>
                <c:pt idx="138" c:formatCode="m/d/yyyy">
                  <c:v>45251</c:v>
                </c:pt>
                <c:pt idx="139" c:formatCode="m/d/yyyy">
                  <c:v>45252</c:v>
                </c:pt>
                <c:pt idx="140" c:formatCode="m/d/yyyy">
                  <c:v>45253</c:v>
                </c:pt>
                <c:pt idx="141" c:formatCode="m/d/yyyy">
                  <c:v>45254</c:v>
                </c:pt>
                <c:pt idx="142" c:formatCode="m/d/yyyy">
                  <c:v>45257</c:v>
                </c:pt>
                <c:pt idx="143" c:formatCode="m/d/yyyy">
                  <c:v>45258</c:v>
                </c:pt>
                <c:pt idx="144" c:formatCode="m/d/yyyy">
                  <c:v>45259</c:v>
                </c:pt>
                <c:pt idx="145" c:formatCode="m/d/yyyy">
                  <c:v>45260</c:v>
                </c:pt>
                <c:pt idx="146" c:formatCode="m/d/yyyy">
                  <c:v>45261</c:v>
                </c:pt>
                <c:pt idx="147" c:formatCode="m/d/yyyy">
                  <c:v>45264</c:v>
                </c:pt>
                <c:pt idx="148" c:formatCode="m/d/yyyy">
                  <c:v>45265</c:v>
                </c:pt>
                <c:pt idx="149" c:formatCode="m/d/yyyy">
                  <c:v>45266</c:v>
                </c:pt>
                <c:pt idx="150" c:formatCode="m/d/yyyy">
                  <c:v>45267</c:v>
                </c:pt>
                <c:pt idx="151" c:formatCode="m/d/yyyy">
                  <c:v>45268</c:v>
                </c:pt>
                <c:pt idx="152" c:formatCode="m/d/yyyy">
                  <c:v>45271</c:v>
                </c:pt>
                <c:pt idx="153" c:formatCode="m/d/yyyy">
                  <c:v>45272</c:v>
                </c:pt>
                <c:pt idx="154" c:formatCode="m/d/yyyy">
                  <c:v>45273</c:v>
                </c:pt>
                <c:pt idx="155" c:formatCode="m/d/yyyy">
                  <c:v>45274</c:v>
                </c:pt>
                <c:pt idx="156" c:formatCode="m/d/yyyy">
                  <c:v>45275</c:v>
                </c:pt>
                <c:pt idx="157" c:formatCode="m/d/yyyy">
                  <c:v>45278</c:v>
                </c:pt>
                <c:pt idx="158" c:formatCode="m/d/yyyy">
                  <c:v>45279</c:v>
                </c:pt>
                <c:pt idx="159" c:formatCode="m/d/yyyy">
                  <c:v>45280</c:v>
                </c:pt>
                <c:pt idx="160" c:formatCode="m/d/yyyy">
                  <c:v>45281</c:v>
                </c:pt>
                <c:pt idx="161" c:formatCode="m/d/yyyy">
                  <c:v>45282</c:v>
                </c:pt>
                <c:pt idx="162" c:formatCode="m/d/yyyy">
                  <c:v>45285</c:v>
                </c:pt>
                <c:pt idx="163" c:formatCode="m/d/yyyy">
                  <c:v>45286</c:v>
                </c:pt>
                <c:pt idx="164" c:formatCode="m/d/yyyy">
                  <c:v>45287</c:v>
                </c:pt>
                <c:pt idx="165" c:formatCode="m/d/yyyy">
                  <c:v>45288</c:v>
                </c:pt>
                <c:pt idx="166" c:formatCode="m/d/yyyy">
                  <c:v>45289</c:v>
                </c:pt>
                <c:pt idx="167" c:formatCode="m/d/yyyy">
                  <c:v>45290</c:v>
                </c:pt>
                <c:pt idx="168" c:formatCode="m/d/yyyy">
                  <c:v>45298</c:v>
                </c:pt>
                <c:pt idx="169" c:formatCode="m/d/yyyy">
                  <c:v>45299</c:v>
                </c:pt>
                <c:pt idx="170" c:formatCode="m/d/yyyy">
                  <c:v>45300</c:v>
                </c:pt>
                <c:pt idx="171" c:formatCode="m/d/yyyy">
                  <c:v>45301</c:v>
                </c:pt>
                <c:pt idx="172" c:formatCode="m/d/yyyy">
                  <c:v>45302</c:v>
                </c:pt>
                <c:pt idx="173" c:formatCode="m/d/yyyy">
                  <c:v>45303</c:v>
                </c:pt>
                <c:pt idx="174" c:formatCode="m/d/yyyy">
                  <c:v>45306</c:v>
                </c:pt>
                <c:pt idx="175" c:formatCode="m/d/yyyy">
                  <c:v>45307</c:v>
                </c:pt>
                <c:pt idx="176" c:formatCode="m/d/yyyy">
                  <c:v>45308</c:v>
                </c:pt>
                <c:pt idx="177" c:formatCode="m/d/yyyy">
                  <c:v>45309</c:v>
                </c:pt>
                <c:pt idx="178" c:formatCode="m/d/yyyy">
                  <c:v>45310</c:v>
                </c:pt>
                <c:pt idx="179" c:formatCode="m/d/yyyy">
                  <c:v>45313</c:v>
                </c:pt>
                <c:pt idx="180" c:formatCode="m/d/yyyy">
                  <c:v>45314</c:v>
                </c:pt>
                <c:pt idx="181" c:formatCode="m/d/yyyy">
                  <c:v>45315</c:v>
                </c:pt>
                <c:pt idx="182" c:formatCode="m/d/yyyy">
                  <c:v>45316</c:v>
                </c:pt>
                <c:pt idx="183" c:formatCode="m/d/yyyy">
                  <c:v>45317</c:v>
                </c:pt>
                <c:pt idx="184" c:formatCode="m/d/yyyy">
                  <c:v>45320</c:v>
                </c:pt>
                <c:pt idx="185" c:formatCode="m/d/yyyy">
                  <c:v>45321</c:v>
                </c:pt>
                <c:pt idx="186" c:formatCode="m/d/yyyy">
                  <c:v>45322</c:v>
                </c:pt>
                <c:pt idx="187" c:formatCode="m/d/yyyy">
                  <c:v>45323</c:v>
                </c:pt>
                <c:pt idx="188" c:formatCode="m/d/yyyy">
                  <c:v>45324</c:v>
                </c:pt>
                <c:pt idx="189" c:formatCode="m/d/yyyy">
                  <c:v>45327</c:v>
                </c:pt>
                <c:pt idx="190" c:formatCode="m/d/yyyy">
                  <c:v>45328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 %'!$D$3:$D$214</c:f>
              <c:numCache>
                <c:formatCode>0.00%</c:formatCode>
                <c:ptCount val="212"/>
                <c:pt idx="1">
                  <c:v>0.0549</c:v>
                </c:pt>
                <c:pt idx="2">
                  <c:v>0.0549</c:v>
                </c:pt>
                <c:pt idx="3">
                  <c:v>0.0575</c:v>
                </c:pt>
                <c:pt idx="4">
                  <c:v>0.0575</c:v>
                </c:pt>
                <c:pt idx="5">
                  <c:v>0.0575</c:v>
                </c:pt>
                <c:pt idx="6">
                  <c:v>0.0593</c:v>
                </c:pt>
                <c:pt idx="7">
                  <c:v>0.0593</c:v>
                </c:pt>
                <c:pt idx="8">
                  <c:v>0.0575</c:v>
                </c:pt>
                <c:pt idx="9">
                  <c:v>0.0575</c:v>
                </c:pt>
                <c:pt idx="10">
                  <c:v>0.0575</c:v>
                </c:pt>
                <c:pt idx="11">
                  <c:v>0.0593</c:v>
                </c:pt>
                <c:pt idx="12">
                  <c:v>0.0593</c:v>
                </c:pt>
                <c:pt idx="13">
                  <c:v>0.0593</c:v>
                </c:pt>
                <c:pt idx="14">
                  <c:v>0.0593</c:v>
                </c:pt>
                <c:pt idx="15">
                  <c:v>0.0593</c:v>
                </c:pt>
                <c:pt idx="16">
                  <c:v>0.0575</c:v>
                </c:pt>
                <c:pt idx="17">
                  <c:v>0.0575</c:v>
                </c:pt>
                <c:pt idx="18">
                  <c:v>0.0575</c:v>
                </c:pt>
                <c:pt idx="19">
                  <c:v>0.0575</c:v>
                </c:pt>
                <c:pt idx="20">
                  <c:v>0.0575</c:v>
                </c:pt>
                <c:pt idx="21">
                  <c:v>0.0575</c:v>
                </c:pt>
                <c:pt idx="22">
                  <c:v>0.0575</c:v>
                </c:pt>
                <c:pt idx="25">
                  <c:v>0.0575</c:v>
                </c:pt>
                <c:pt idx="26">
                  <c:v>0.0575</c:v>
                </c:pt>
                <c:pt idx="27">
                  <c:v>0.0575</c:v>
                </c:pt>
                <c:pt idx="28">
                  <c:v>0.0575</c:v>
                </c:pt>
                <c:pt idx="29">
                  <c:v>0.0575</c:v>
                </c:pt>
                <c:pt idx="30">
                  <c:v>0.0575</c:v>
                </c:pt>
                <c:pt idx="31">
                  <c:v>0.0575</c:v>
                </c:pt>
                <c:pt idx="32">
                  <c:v>0.0575</c:v>
                </c:pt>
                <c:pt idx="33">
                  <c:v>0.0575</c:v>
                </c:pt>
                <c:pt idx="34">
                  <c:v>0.0575</c:v>
                </c:pt>
                <c:pt idx="35">
                  <c:v>0.0575</c:v>
                </c:pt>
                <c:pt idx="36">
                  <c:v>0.0575</c:v>
                </c:pt>
                <c:pt idx="38">
                  <c:v>0.0517</c:v>
                </c:pt>
                <c:pt idx="39">
                  <c:v>0.0575</c:v>
                </c:pt>
                <c:pt idx="40">
                  <c:v>0.0575</c:v>
                </c:pt>
                <c:pt idx="41">
                  <c:v>0.0575</c:v>
                </c:pt>
                <c:pt idx="42">
                  <c:v>0.0575</c:v>
                </c:pt>
                <c:pt idx="43">
                  <c:v>0.0575</c:v>
                </c:pt>
                <c:pt idx="44">
                  <c:v>0.0575</c:v>
                </c:pt>
                <c:pt idx="45">
                  <c:v>0.0575</c:v>
                </c:pt>
                <c:pt idx="46">
                  <c:v>0.0575</c:v>
                </c:pt>
                <c:pt idx="47">
                  <c:v>0.0575</c:v>
                </c:pt>
                <c:pt idx="48">
                  <c:v>0.0575</c:v>
                </c:pt>
                <c:pt idx="49">
                  <c:v>0.0575</c:v>
                </c:pt>
                <c:pt idx="50">
                  <c:v>0.0575</c:v>
                </c:pt>
                <c:pt idx="51">
                  <c:v>0.0575</c:v>
                </c:pt>
                <c:pt idx="52">
                  <c:v>0.0575</c:v>
                </c:pt>
                <c:pt idx="53">
                  <c:v>0.0575</c:v>
                </c:pt>
                <c:pt idx="54">
                  <c:v>0.0575</c:v>
                </c:pt>
                <c:pt idx="55">
                  <c:v>0.0575</c:v>
                </c:pt>
                <c:pt idx="56">
                  <c:v>0.0575</c:v>
                </c:pt>
                <c:pt idx="57">
                  <c:v>0.0575</c:v>
                </c:pt>
                <c:pt idx="58">
                  <c:v>0.0575</c:v>
                </c:pt>
                <c:pt idx="59">
                  <c:v>0.0575</c:v>
                </c:pt>
                <c:pt idx="60">
                  <c:v>0.0575</c:v>
                </c:pt>
                <c:pt idx="61">
                  <c:v>0.0575</c:v>
                </c:pt>
                <c:pt idx="167">
                  <c:v>0.0741</c:v>
                </c:pt>
                <c:pt idx="168">
                  <c:v>0.0741</c:v>
                </c:pt>
                <c:pt idx="169">
                  <c:v>0.067</c:v>
                </c:pt>
                <c:pt idx="170">
                  <c:v>0.067</c:v>
                </c:pt>
                <c:pt idx="171">
                  <c:v>0.067</c:v>
                </c:pt>
                <c:pt idx="172">
                  <c:v>0.067</c:v>
                </c:pt>
                <c:pt idx="173">
                  <c:v>0.067</c:v>
                </c:pt>
                <c:pt idx="174">
                  <c:v>0.067</c:v>
                </c:pt>
                <c:pt idx="175">
                  <c:v>0.067</c:v>
                </c:pt>
                <c:pt idx="176">
                  <c:v>0.067</c:v>
                </c:pt>
                <c:pt idx="179">
                  <c:v>0.067</c:v>
                </c:pt>
                <c:pt idx="180">
                  <c:v>0.067</c:v>
                </c:pt>
                <c:pt idx="181">
                  <c:v>0.067</c:v>
                </c:pt>
                <c:pt idx="182">
                  <c:v>0.067</c:v>
                </c:pt>
                <c:pt idx="183">
                  <c:v>0.067</c:v>
                </c:pt>
                <c:pt idx="184">
                  <c:v>0.067</c:v>
                </c:pt>
                <c:pt idx="185">
                  <c:v>0.067</c:v>
                </c:pt>
                <c:pt idx="186">
                  <c:v>0.067</c:v>
                </c:pt>
                <c:pt idx="187">
                  <c:v>0.067</c:v>
                </c:pt>
                <c:pt idx="21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2097184"/>
        <c:axId val="302101760"/>
      </c:lineChart>
      <c:dateAx>
        <c:axId val="3020971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302101760"/>
        <c:crosses val="autoZero"/>
        <c:auto val="1"/>
        <c:lblOffset val="100"/>
        <c:baseTimeUnit val="days"/>
        <c:majorUnit val="10"/>
        <c:majorTimeUnit val="days"/>
      </c:dateAx>
      <c:valAx>
        <c:axId val="302101760"/>
        <c:scaling>
          <c:orientation val="minMax"/>
          <c:min val="0.045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30209718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0361814560413991"/>
          <c:y val="0.894445239799571"/>
          <c:w val="0.928720760968709"/>
          <c:h val="0.103352332004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5f17e9-1830-4013-984b-f574d09f104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az-Latn-AZ" sz="1800" b="1"/>
              <a:t>AZIR*</a:t>
            </a:r>
            <a:r>
              <a:rPr lang="az-Latn-AZ" sz="1800" b="1" baseline="0"/>
              <a:t> indekslərinin həcm dinamikası, </a:t>
            </a:r>
            <a:r>
              <a:rPr lang="az-Latn-AZ" sz="1800" b="1" i="0" baseline="0">
                <a:effectLst/>
              </a:rPr>
              <a:t>mln. ₼</a:t>
            </a:r>
            <a:endParaRPr lang="en-US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az-Latn-AZ" sz="1800" b="1" baseline="0"/>
          </a:p>
        </c:rich>
      </c:tx>
      <c:layout>
        <c:manualLayout>
          <c:xMode val="edge"/>
          <c:yMode val="edge"/>
          <c:x val="0.158117067049787"/>
          <c:y val="0.03958868777766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76130335193249"/>
          <c:y val="0.180951020235374"/>
          <c:w val="0.909756131968652"/>
          <c:h val="0.5261764313359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'1D AZIR və 1W AZIR   VOLUME'!$C$2</c:f>
              <c:strCache>
                <c:ptCount val="1"/>
                <c:pt idx="0">
                  <c:v>1D AZIR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7030A0"/>
              </a:solidFill>
            </a:ln>
            <a:effectLst/>
          </c:spPr>
          <c:invertIfNegative val="0"/>
          <c:dLbls>
            <c:delete val="1"/>
          </c:dLbls>
          <c:cat>
            <c:numRef>
              <c:f>'1D AZIR və 1W AZIR   VOLUME'!$B$3:$B$214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0</c:v>
                </c:pt>
                <c:pt idx="94" c:formatCode="m/d/yyyy">
                  <c:v>0</c:v>
                </c:pt>
                <c:pt idx="95" c:formatCode="m/d/yyyy">
                  <c:v>0</c:v>
                </c:pt>
                <c:pt idx="96" c:formatCode="m/d/yyyy">
                  <c:v>0</c:v>
                </c:pt>
                <c:pt idx="97" c:formatCode="m/d/yyyy">
                  <c:v>0</c:v>
                </c:pt>
                <c:pt idx="98" c:formatCode="m/d/yyyy">
                  <c:v>0</c:v>
                </c:pt>
                <c:pt idx="99" c:formatCode="m/d/yyyy">
                  <c:v>0</c:v>
                </c:pt>
                <c:pt idx="100" c:formatCode="m/d/yyyy">
                  <c:v>0</c:v>
                </c:pt>
                <c:pt idx="101" c:formatCode="m/d/yyyy">
                  <c:v>0</c:v>
                </c:pt>
                <c:pt idx="102" c:formatCode="m/d/yyyy">
                  <c:v>0</c:v>
                </c:pt>
                <c:pt idx="103" c:formatCode="m/d/yyyy">
                  <c:v>0</c:v>
                </c:pt>
                <c:pt idx="104" c:formatCode="m/d/yyyy">
                  <c:v>0</c:v>
                </c:pt>
                <c:pt idx="105" c:formatCode="m/d/yyyy">
                  <c:v>0</c:v>
                </c:pt>
                <c:pt idx="106" c:formatCode="m/d/yyyy">
                  <c:v>0</c:v>
                </c:pt>
                <c:pt idx="107" c:formatCode="m/d/yyyy">
                  <c:v>0</c:v>
                </c:pt>
                <c:pt idx="108" c:formatCode="m/d/yyyy">
                  <c:v>0</c:v>
                </c:pt>
                <c:pt idx="109" c:formatCode="m/d/yyyy">
                  <c:v>0</c:v>
                </c:pt>
                <c:pt idx="110" c:formatCode="m/d/yyyy">
                  <c:v>0</c:v>
                </c:pt>
                <c:pt idx="111" c:formatCode="m/d/yyyy">
                  <c:v>0</c:v>
                </c:pt>
                <c:pt idx="112" c:formatCode="m/d/yyyy">
                  <c:v>0</c:v>
                </c:pt>
                <c:pt idx="113" c:formatCode="m/d/yyyy">
                  <c:v>0</c:v>
                </c:pt>
                <c:pt idx="114" c:formatCode="m/d/yyyy">
                  <c:v>0</c:v>
                </c:pt>
                <c:pt idx="115" c:formatCode="m/d/yyyy">
                  <c:v>0</c:v>
                </c:pt>
                <c:pt idx="116" c:formatCode="m/d/yyyy">
                  <c:v>0</c:v>
                </c:pt>
                <c:pt idx="117" c:formatCode="m/d/yyyy">
                  <c:v>0</c:v>
                </c:pt>
                <c:pt idx="118" c:formatCode="m/d/yyyy">
                  <c:v>0</c:v>
                </c:pt>
                <c:pt idx="119" c:formatCode="m/d/yyyy">
                  <c:v>0</c:v>
                </c:pt>
                <c:pt idx="120" c:formatCode="m/d/yyyy">
                  <c:v>0</c:v>
                </c:pt>
                <c:pt idx="121" c:formatCode="m/d/yyyy">
                  <c:v>0</c:v>
                </c:pt>
                <c:pt idx="122" c:formatCode="m/d/yyyy">
                  <c:v>0</c:v>
                </c:pt>
                <c:pt idx="123" c:formatCode="m/d/yyyy">
                  <c:v>0</c:v>
                </c:pt>
                <c:pt idx="124" c:formatCode="m/d/yyyy">
                  <c:v>0</c:v>
                </c:pt>
                <c:pt idx="125" c:formatCode="m/d/yyyy">
                  <c:v>0</c:v>
                </c:pt>
                <c:pt idx="126" c:formatCode="m/d/yyyy">
                  <c:v>0</c:v>
                </c:pt>
                <c:pt idx="127" c:formatCode="m/d/yyyy">
                  <c:v>0</c:v>
                </c:pt>
                <c:pt idx="128" c:formatCode="m/d/yyyy">
                  <c:v>0</c:v>
                </c:pt>
                <c:pt idx="129" c:formatCode="m/d/yyyy">
                  <c:v>0</c:v>
                </c:pt>
                <c:pt idx="130" c:formatCode="m/d/yyyy">
                  <c:v>0</c:v>
                </c:pt>
                <c:pt idx="131" c:formatCode="m/d/yyyy">
                  <c:v>0</c:v>
                </c:pt>
                <c:pt idx="132" c:formatCode="m/d/yyyy">
                  <c:v>0</c:v>
                </c:pt>
                <c:pt idx="133" c:formatCode="m/d/yyyy">
                  <c:v>0</c:v>
                </c:pt>
                <c:pt idx="134" c:formatCode="m/d/yyyy">
                  <c:v>0</c:v>
                </c:pt>
                <c:pt idx="135" c:formatCode="m/d/yyyy">
                  <c:v>0</c:v>
                </c:pt>
                <c:pt idx="136" c:formatCode="m/d/yyyy">
                  <c:v>0</c:v>
                </c:pt>
                <c:pt idx="137" c:formatCode="m/d/yyyy">
                  <c:v>0</c:v>
                </c:pt>
                <c:pt idx="138" c:formatCode="m/d/yyyy">
                  <c:v>0</c:v>
                </c:pt>
                <c:pt idx="139" c:formatCode="m/d/yyyy">
                  <c:v>0</c:v>
                </c:pt>
                <c:pt idx="140" c:formatCode="m/d/yyyy">
                  <c:v>0</c:v>
                </c:pt>
                <c:pt idx="141" c:formatCode="m/d/yyyy">
                  <c:v>0</c:v>
                </c:pt>
                <c:pt idx="142" c:formatCode="m/d/yyyy">
                  <c:v>0</c:v>
                </c:pt>
                <c:pt idx="143" c:formatCode="m/d/yyyy">
                  <c:v>0</c:v>
                </c:pt>
                <c:pt idx="144" c:formatCode="m/d/yyyy">
                  <c:v>0</c:v>
                </c:pt>
                <c:pt idx="145" c:formatCode="m/d/yyyy">
                  <c:v>0</c:v>
                </c:pt>
                <c:pt idx="146" c:formatCode="m/d/yyyy">
                  <c:v>0</c:v>
                </c:pt>
                <c:pt idx="147" c:formatCode="m/d/yyyy">
                  <c:v>0</c:v>
                </c:pt>
                <c:pt idx="148" c:formatCode="m/d/yyyy">
                  <c:v>0</c:v>
                </c:pt>
                <c:pt idx="149" c:formatCode="m/d/yyyy">
                  <c:v>0</c:v>
                </c:pt>
                <c:pt idx="150" c:formatCode="m/d/yyyy">
                  <c:v>0</c:v>
                </c:pt>
                <c:pt idx="151" c:formatCode="m/d/yyyy">
                  <c:v>0</c:v>
                </c:pt>
                <c:pt idx="152" c:formatCode="m/d/yyyy">
                  <c:v>0</c:v>
                </c:pt>
                <c:pt idx="153" c:formatCode="m/d/yyyy">
                  <c:v>0</c:v>
                </c:pt>
                <c:pt idx="154" c:formatCode="m/d/yyyy">
                  <c:v>0</c:v>
                </c:pt>
                <c:pt idx="155" c:formatCode="m/d/yyyy">
                  <c:v>0</c:v>
                </c:pt>
                <c:pt idx="156" c:formatCode="m/d/yyyy">
                  <c:v>0</c:v>
                </c:pt>
                <c:pt idx="157" c:formatCode="m/d/yyyy">
                  <c:v>0</c:v>
                </c:pt>
                <c:pt idx="158" c:formatCode="m/d/yyyy">
                  <c:v>0</c:v>
                </c:pt>
                <c:pt idx="159" c:formatCode="m/d/yyyy">
                  <c:v>0</c:v>
                </c:pt>
                <c:pt idx="160" c:formatCode="m/d/yyyy">
                  <c:v>0</c:v>
                </c:pt>
                <c:pt idx="161" c:formatCode="m/d/yyyy">
                  <c:v>0</c:v>
                </c:pt>
                <c:pt idx="162" c:formatCode="m/d/yyyy">
                  <c:v>0</c:v>
                </c:pt>
                <c:pt idx="163" c:formatCode="m/d/yyyy">
                  <c:v>0</c:v>
                </c:pt>
                <c:pt idx="164" c:formatCode="m/d/yyyy">
                  <c:v>0</c:v>
                </c:pt>
                <c:pt idx="165" c:formatCode="m/d/yyyy">
                  <c:v>0</c:v>
                </c:pt>
                <c:pt idx="166" c:formatCode="m/d/yyyy">
                  <c:v>0</c:v>
                </c:pt>
                <c:pt idx="167" c:formatCode="m/d/yyyy">
                  <c:v>0</c:v>
                </c:pt>
                <c:pt idx="168" c:formatCode="m/d/yyyy">
                  <c:v>0</c:v>
                </c:pt>
                <c:pt idx="169" c:formatCode="m/d/yyyy">
                  <c:v>0</c:v>
                </c:pt>
                <c:pt idx="170" c:formatCode="m/d/yyyy">
                  <c:v>0</c:v>
                </c:pt>
                <c:pt idx="171" c:formatCode="m/d/yyyy">
                  <c:v>0</c:v>
                </c:pt>
                <c:pt idx="172" c:formatCode="m/d/yyyy">
                  <c:v>0</c:v>
                </c:pt>
                <c:pt idx="173" c:formatCode="m/d/yyyy">
                  <c:v>0</c:v>
                </c:pt>
                <c:pt idx="174" c:formatCode="m/d/yyyy">
                  <c:v>0</c:v>
                </c:pt>
                <c:pt idx="175" c:formatCode="m/d/yyyy">
                  <c:v>0</c:v>
                </c:pt>
                <c:pt idx="176" c:formatCode="m/d/yyyy">
                  <c:v>0</c:v>
                </c:pt>
                <c:pt idx="177" c:formatCode="m/d/yyyy">
                  <c:v>0</c:v>
                </c:pt>
                <c:pt idx="178" c:formatCode="m/d/yyyy">
                  <c:v>0</c:v>
                </c:pt>
                <c:pt idx="179" c:formatCode="m/d/yyyy">
                  <c:v>0</c:v>
                </c:pt>
                <c:pt idx="180" c:formatCode="m/d/yyyy">
                  <c:v>0</c:v>
                </c:pt>
                <c:pt idx="181" c:formatCode="m/d/yyyy">
                  <c:v>0</c:v>
                </c:pt>
                <c:pt idx="182" c:formatCode="m/d/yyyy">
                  <c:v>0</c:v>
                </c:pt>
                <c:pt idx="183" c:formatCode="m/d/yyyy">
                  <c:v>0</c:v>
                </c:pt>
                <c:pt idx="184" c:formatCode="m/d/yyyy">
                  <c:v>0</c:v>
                </c:pt>
                <c:pt idx="185" c:formatCode="m/d/yyyy">
                  <c:v>0</c:v>
                </c:pt>
                <c:pt idx="186" c:formatCode="m/d/yyyy">
                  <c:v>0</c:v>
                </c:pt>
                <c:pt idx="187" c:formatCode="m/d/yyyy">
                  <c:v>0</c:v>
                </c:pt>
                <c:pt idx="188" c:formatCode="m/d/yyyy">
                  <c:v>0</c:v>
                </c:pt>
                <c:pt idx="189" c:formatCode="m/d/yyyy">
                  <c:v>0</c:v>
                </c:pt>
                <c:pt idx="190" c:formatCode="m/d/yyyy">
                  <c:v>0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   VOLUME'!$C$3:$C$214</c:f>
              <c:numCache>
                <c:formatCode>0.0</c:formatCode>
                <c:ptCount val="212"/>
                <c:pt idx="0">
                  <c:v>111.5</c:v>
                </c:pt>
                <c:pt idx="1">
                  <c:v>161</c:v>
                </c:pt>
                <c:pt idx="2">
                  <c:v>162</c:v>
                </c:pt>
                <c:pt idx="3">
                  <c:v>147</c:v>
                </c:pt>
                <c:pt idx="4">
                  <c:v>142.5</c:v>
                </c:pt>
                <c:pt idx="5">
                  <c:v>155</c:v>
                </c:pt>
                <c:pt idx="6">
                  <c:v>149.5</c:v>
                </c:pt>
                <c:pt idx="7">
                  <c:v>179</c:v>
                </c:pt>
                <c:pt idx="8">
                  <c:v>168</c:v>
                </c:pt>
                <c:pt idx="9">
                  <c:v>157</c:v>
                </c:pt>
                <c:pt idx="10">
                  <c:v>174</c:v>
                </c:pt>
                <c:pt idx="11">
                  <c:v>161</c:v>
                </c:pt>
                <c:pt idx="12">
                  <c:v>184</c:v>
                </c:pt>
                <c:pt idx="13">
                  <c:v>160</c:v>
                </c:pt>
                <c:pt idx="14">
                  <c:v>126</c:v>
                </c:pt>
                <c:pt idx="15">
                  <c:v>179.8</c:v>
                </c:pt>
                <c:pt idx="16">
                  <c:v>235.3</c:v>
                </c:pt>
                <c:pt idx="17">
                  <c:v>267.3</c:v>
                </c:pt>
                <c:pt idx="19">
                  <c:v>263.8</c:v>
                </c:pt>
                <c:pt idx="20">
                  <c:v>215</c:v>
                </c:pt>
                <c:pt idx="21">
                  <c:v>188</c:v>
                </c:pt>
                <c:pt idx="22">
                  <c:v>181.5</c:v>
                </c:pt>
                <c:pt idx="23">
                  <c:v>202.5</c:v>
                </c:pt>
                <c:pt idx="24">
                  <c:v>198.5</c:v>
                </c:pt>
                <c:pt idx="25">
                  <c:v>201.5</c:v>
                </c:pt>
                <c:pt idx="26">
                  <c:v>162</c:v>
                </c:pt>
                <c:pt idx="27">
                  <c:v>157.5</c:v>
                </c:pt>
                <c:pt idx="28">
                  <c:v>158.5</c:v>
                </c:pt>
                <c:pt idx="29">
                  <c:v>140</c:v>
                </c:pt>
                <c:pt idx="30">
                  <c:v>164</c:v>
                </c:pt>
                <c:pt idx="31">
                  <c:v>180</c:v>
                </c:pt>
                <c:pt idx="32">
                  <c:v>135</c:v>
                </c:pt>
                <c:pt idx="33">
                  <c:v>159.5</c:v>
                </c:pt>
                <c:pt idx="34">
                  <c:v>169.5</c:v>
                </c:pt>
                <c:pt idx="35">
                  <c:v>183</c:v>
                </c:pt>
                <c:pt idx="36">
                  <c:v>173</c:v>
                </c:pt>
                <c:pt idx="37">
                  <c:v>176.5</c:v>
                </c:pt>
                <c:pt idx="39">
                  <c:v>135</c:v>
                </c:pt>
                <c:pt idx="40">
                  <c:v>140</c:v>
                </c:pt>
                <c:pt idx="41">
                  <c:v>169</c:v>
                </c:pt>
                <c:pt idx="42">
                  <c:v>122.5</c:v>
                </c:pt>
                <c:pt idx="43">
                  <c:v>156.5</c:v>
                </c:pt>
                <c:pt idx="44">
                  <c:v>164</c:v>
                </c:pt>
                <c:pt idx="45">
                  <c:v>136</c:v>
                </c:pt>
                <c:pt idx="46">
                  <c:v>110</c:v>
                </c:pt>
                <c:pt idx="47">
                  <c:v>131.5</c:v>
                </c:pt>
                <c:pt idx="48">
                  <c:v>112.5</c:v>
                </c:pt>
                <c:pt idx="49">
                  <c:v>121</c:v>
                </c:pt>
                <c:pt idx="50">
                  <c:v>122</c:v>
                </c:pt>
                <c:pt idx="51">
                  <c:v>108</c:v>
                </c:pt>
                <c:pt idx="52">
                  <c:v>127</c:v>
                </c:pt>
                <c:pt idx="53">
                  <c:v>110</c:v>
                </c:pt>
                <c:pt idx="54">
                  <c:v>107</c:v>
                </c:pt>
                <c:pt idx="55">
                  <c:v>122</c:v>
                </c:pt>
                <c:pt idx="56">
                  <c:v>112</c:v>
                </c:pt>
                <c:pt idx="57">
                  <c:v>133</c:v>
                </c:pt>
                <c:pt idx="58">
                  <c:v>110.5</c:v>
                </c:pt>
                <c:pt idx="59">
                  <c:v>145</c:v>
                </c:pt>
                <c:pt idx="60">
                  <c:v>155</c:v>
                </c:pt>
                <c:pt idx="61">
                  <c:v>165</c:v>
                </c:pt>
                <c:pt idx="62">
                  <c:v>149</c:v>
                </c:pt>
                <c:pt idx="63">
                  <c:v>139</c:v>
                </c:pt>
                <c:pt idx="64">
                  <c:v>159</c:v>
                </c:pt>
                <c:pt idx="65">
                  <c:v>134.5</c:v>
                </c:pt>
                <c:pt idx="66">
                  <c:v>129.5</c:v>
                </c:pt>
                <c:pt idx="67">
                  <c:v>130</c:v>
                </c:pt>
                <c:pt idx="68">
                  <c:v>135</c:v>
                </c:pt>
                <c:pt idx="69">
                  <c:v>145.5</c:v>
                </c:pt>
                <c:pt idx="70">
                  <c:v>217</c:v>
                </c:pt>
                <c:pt idx="71">
                  <c:v>237</c:v>
                </c:pt>
                <c:pt idx="72">
                  <c:v>187</c:v>
                </c:pt>
                <c:pt idx="73">
                  <c:v>223</c:v>
                </c:pt>
                <c:pt idx="74">
                  <c:v>230</c:v>
                </c:pt>
                <c:pt idx="75">
                  <c:v>234</c:v>
                </c:pt>
                <c:pt idx="76">
                  <c:v>244</c:v>
                </c:pt>
                <c:pt idx="77">
                  <c:v>204</c:v>
                </c:pt>
                <c:pt idx="78">
                  <c:v>332</c:v>
                </c:pt>
                <c:pt idx="79">
                  <c:v>355.5</c:v>
                </c:pt>
                <c:pt idx="80">
                  <c:v>372.5</c:v>
                </c:pt>
                <c:pt idx="81">
                  <c:v>319</c:v>
                </c:pt>
                <c:pt idx="82">
                  <c:v>265</c:v>
                </c:pt>
                <c:pt idx="83">
                  <c:v>327</c:v>
                </c:pt>
                <c:pt idx="84">
                  <c:v>416.5</c:v>
                </c:pt>
                <c:pt idx="85">
                  <c:v>417</c:v>
                </c:pt>
                <c:pt idx="86">
                  <c:v>325.5</c:v>
                </c:pt>
                <c:pt idx="87">
                  <c:v>417</c:v>
                </c:pt>
                <c:pt idx="88">
                  <c:v>383</c:v>
                </c:pt>
                <c:pt idx="89">
                  <c:v>164</c:v>
                </c:pt>
                <c:pt idx="90">
                  <c:v>45</c:v>
                </c:pt>
                <c:pt idx="112">
                  <c:v>30</c:v>
                </c:pt>
                <c:pt idx="136">
                  <c:v>30</c:v>
                </c:pt>
                <c:pt idx="137">
                  <c:v>15</c:v>
                </c:pt>
                <c:pt idx="138">
                  <c:v>15</c:v>
                </c:pt>
                <c:pt idx="139">
                  <c:v>70</c:v>
                </c:pt>
                <c:pt idx="140">
                  <c:v>80</c:v>
                </c:pt>
                <c:pt idx="141">
                  <c:v>85</c:v>
                </c:pt>
                <c:pt idx="142">
                  <c:v>85</c:v>
                </c:pt>
                <c:pt idx="143">
                  <c:v>95</c:v>
                </c:pt>
                <c:pt idx="144">
                  <c:v>95</c:v>
                </c:pt>
                <c:pt idx="156">
                  <c:v>188</c:v>
                </c:pt>
                <c:pt idx="157">
                  <c:v>276</c:v>
                </c:pt>
                <c:pt idx="158">
                  <c:v>276</c:v>
                </c:pt>
                <c:pt idx="159">
                  <c:v>319</c:v>
                </c:pt>
                <c:pt idx="160">
                  <c:v>289.8</c:v>
                </c:pt>
                <c:pt idx="161">
                  <c:v>324.8</c:v>
                </c:pt>
                <c:pt idx="162">
                  <c:v>347.8</c:v>
                </c:pt>
                <c:pt idx="163">
                  <c:v>339.8</c:v>
                </c:pt>
                <c:pt idx="164">
                  <c:v>344.8</c:v>
                </c:pt>
                <c:pt idx="165">
                  <c:v>381.8</c:v>
                </c:pt>
                <c:pt idx="166">
                  <c:v>325</c:v>
                </c:pt>
                <c:pt idx="168">
                  <c:v>62.8</c:v>
                </c:pt>
                <c:pt idx="169">
                  <c:v>196.3</c:v>
                </c:pt>
                <c:pt idx="170">
                  <c:v>216.3</c:v>
                </c:pt>
                <c:pt idx="171">
                  <c:v>260.5</c:v>
                </c:pt>
                <c:pt idx="172">
                  <c:v>252.5</c:v>
                </c:pt>
                <c:pt idx="173">
                  <c:v>112.5</c:v>
                </c:pt>
                <c:pt idx="174">
                  <c:v>373.5</c:v>
                </c:pt>
                <c:pt idx="175">
                  <c:v>516</c:v>
                </c:pt>
                <c:pt idx="176">
                  <c:v>497.5</c:v>
                </c:pt>
                <c:pt idx="177">
                  <c:v>447</c:v>
                </c:pt>
                <c:pt idx="178">
                  <c:v>455.5</c:v>
                </c:pt>
                <c:pt idx="179">
                  <c:v>482.5</c:v>
                </c:pt>
                <c:pt idx="180">
                  <c:v>420</c:v>
                </c:pt>
                <c:pt idx="181">
                  <c:v>438.5</c:v>
                </c:pt>
                <c:pt idx="182">
                  <c:v>355</c:v>
                </c:pt>
                <c:pt idx="183">
                  <c:v>404</c:v>
                </c:pt>
                <c:pt idx="184">
                  <c:v>294</c:v>
                </c:pt>
                <c:pt idx="185">
                  <c:v>322</c:v>
                </c:pt>
                <c:pt idx="186">
                  <c:v>352</c:v>
                </c:pt>
                <c:pt idx="187">
                  <c:v>142</c:v>
                </c:pt>
                <c:pt idx="188">
                  <c:v>277</c:v>
                </c:pt>
                <c:pt idx="189">
                  <c:v>252</c:v>
                </c:pt>
                <c:pt idx="190">
                  <c:v>288</c:v>
                </c:pt>
                <c:pt idx="191">
                  <c:v>244</c:v>
                </c:pt>
                <c:pt idx="192">
                  <c:v>314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'1D AZIR və 1W AZIR   VOLUME'!$D$2</c:f>
              <c:strCache>
                <c:ptCount val="1"/>
                <c:pt idx="0">
                  <c:v>1W AZIR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'1D AZIR və 1W AZIR   VOLUME'!$B$3:$B$214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0</c:v>
                </c:pt>
                <c:pt idx="94" c:formatCode="m/d/yyyy">
                  <c:v>0</c:v>
                </c:pt>
                <c:pt idx="95" c:formatCode="m/d/yyyy">
                  <c:v>0</c:v>
                </c:pt>
                <c:pt idx="96" c:formatCode="m/d/yyyy">
                  <c:v>0</c:v>
                </c:pt>
                <c:pt idx="97" c:formatCode="m/d/yyyy">
                  <c:v>0</c:v>
                </c:pt>
                <c:pt idx="98" c:formatCode="m/d/yyyy">
                  <c:v>0</c:v>
                </c:pt>
                <c:pt idx="99" c:formatCode="m/d/yyyy">
                  <c:v>0</c:v>
                </c:pt>
                <c:pt idx="100" c:formatCode="m/d/yyyy">
                  <c:v>0</c:v>
                </c:pt>
                <c:pt idx="101" c:formatCode="m/d/yyyy">
                  <c:v>0</c:v>
                </c:pt>
                <c:pt idx="102" c:formatCode="m/d/yyyy">
                  <c:v>0</c:v>
                </c:pt>
                <c:pt idx="103" c:formatCode="m/d/yyyy">
                  <c:v>0</c:v>
                </c:pt>
                <c:pt idx="104" c:formatCode="m/d/yyyy">
                  <c:v>0</c:v>
                </c:pt>
                <c:pt idx="105" c:formatCode="m/d/yyyy">
                  <c:v>0</c:v>
                </c:pt>
                <c:pt idx="106" c:formatCode="m/d/yyyy">
                  <c:v>0</c:v>
                </c:pt>
                <c:pt idx="107" c:formatCode="m/d/yyyy">
                  <c:v>0</c:v>
                </c:pt>
                <c:pt idx="108" c:formatCode="m/d/yyyy">
                  <c:v>0</c:v>
                </c:pt>
                <c:pt idx="109" c:formatCode="m/d/yyyy">
                  <c:v>0</c:v>
                </c:pt>
                <c:pt idx="110" c:formatCode="m/d/yyyy">
                  <c:v>0</c:v>
                </c:pt>
                <c:pt idx="111" c:formatCode="m/d/yyyy">
                  <c:v>0</c:v>
                </c:pt>
                <c:pt idx="112" c:formatCode="m/d/yyyy">
                  <c:v>0</c:v>
                </c:pt>
                <c:pt idx="113" c:formatCode="m/d/yyyy">
                  <c:v>0</c:v>
                </c:pt>
                <c:pt idx="114" c:formatCode="m/d/yyyy">
                  <c:v>0</c:v>
                </c:pt>
                <c:pt idx="115" c:formatCode="m/d/yyyy">
                  <c:v>0</c:v>
                </c:pt>
                <c:pt idx="116" c:formatCode="m/d/yyyy">
                  <c:v>0</c:v>
                </c:pt>
                <c:pt idx="117" c:formatCode="m/d/yyyy">
                  <c:v>0</c:v>
                </c:pt>
                <c:pt idx="118" c:formatCode="m/d/yyyy">
                  <c:v>0</c:v>
                </c:pt>
                <c:pt idx="119" c:formatCode="m/d/yyyy">
                  <c:v>0</c:v>
                </c:pt>
                <c:pt idx="120" c:formatCode="m/d/yyyy">
                  <c:v>0</c:v>
                </c:pt>
                <c:pt idx="121" c:formatCode="m/d/yyyy">
                  <c:v>0</c:v>
                </c:pt>
                <c:pt idx="122" c:formatCode="m/d/yyyy">
                  <c:v>0</c:v>
                </c:pt>
                <c:pt idx="123" c:formatCode="m/d/yyyy">
                  <c:v>0</c:v>
                </c:pt>
                <c:pt idx="124" c:formatCode="m/d/yyyy">
                  <c:v>0</c:v>
                </c:pt>
                <c:pt idx="125" c:formatCode="m/d/yyyy">
                  <c:v>0</c:v>
                </c:pt>
                <c:pt idx="126" c:formatCode="m/d/yyyy">
                  <c:v>0</c:v>
                </c:pt>
                <c:pt idx="127" c:formatCode="m/d/yyyy">
                  <c:v>0</c:v>
                </c:pt>
                <c:pt idx="128" c:formatCode="m/d/yyyy">
                  <c:v>0</c:v>
                </c:pt>
                <c:pt idx="129" c:formatCode="m/d/yyyy">
                  <c:v>0</c:v>
                </c:pt>
                <c:pt idx="130" c:formatCode="m/d/yyyy">
                  <c:v>0</c:v>
                </c:pt>
                <c:pt idx="131" c:formatCode="m/d/yyyy">
                  <c:v>0</c:v>
                </c:pt>
                <c:pt idx="132" c:formatCode="m/d/yyyy">
                  <c:v>0</c:v>
                </c:pt>
                <c:pt idx="133" c:formatCode="m/d/yyyy">
                  <c:v>0</c:v>
                </c:pt>
                <c:pt idx="134" c:formatCode="m/d/yyyy">
                  <c:v>0</c:v>
                </c:pt>
                <c:pt idx="135" c:formatCode="m/d/yyyy">
                  <c:v>0</c:v>
                </c:pt>
                <c:pt idx="136" c:formatCode="m/d/yyyy">
                  <c:v>0</c:v>
                </c:pt>
                <c:pt idx="137" c:formatCode="m/d/yyyy">
                  <c:v>0</c:v>
                </c:pt>
                <c:pt idx="138" c:formatCode="m/d/yyyy">
                  <c:v>0</c:v>
                </c:pt>
                <c:pt idx="139" c:formatCode="m/d/yyyy">
                  <c:v>0</c:v>
                </c:pt>
                <c:pt idx="140" c:formatCode="m/d/yyyy">
                  <c:v>0</c:v>
                </c:pt>
                <c:pt idx="141" c:formatCode="m/d/yyyy">
                  <c:v>0</c:v>
                </c:pt>
                <c:pt idx="142" c:formatCode="m/d/yyyy">
                  <c:v>0</c:v>
                </c:pt>
                <c:pt idx="143" c:formatCode="m/d/yyyy">
                  <c:v>0</c:v>
                </c:pt>
                <c:pt idx="144" c:formatCode="m/d/yyyy">
                  <c:v>0</c:v>
                </c:pt>
                <c:pt idx="145" c:formatCode="m/d/yyyy">
                  <c:v>0</c:v>
                </c:pt>
                <c:pt idx="146" c:formatCode="m/d/yyyy">
                  <c:v>0</c:v>
                </c:pt>
                <c:pt idx="147" c:formatCode="m/d/yyyy">
                  <c:v>0</c:v>
                </c:pt>
                <c:pt idx="148" c:formatCode="m/d/yyyy">
                  <c:v>0</c:v>
                </c:pt>
                <c:pt idx="149" c:formatCode="m/d/yyyy">
                  <c:v>0</c:v>
                </c:pt>
                <c:pt idx="150" c:formatCode="m/d/yyyy">
                  <c:v>0</c:v>
                </c:pt>
                <c:pt idx="151" c:formatCode="m/d/yyyy">
                  <c:v>0</c:v>
                </c:pt>
                <c:pt idx="152" c:formatCode="m/d/yyyy">
                  <c:v>0</c:v>
                </c:pt>
                <c:pt idx="153" c:formatCode="m/d/yyyy">
                  <c:v>0</c:v>
                </c:pt>
                <c:pt idx="154" c:formatCode="m/d/yyyy">
                  <c:v>0</c:v>
                </c:pt>
                <c:pt idx="155" c:formatCode="m/d/yyyy">
                  <c:v>0</c:v>
                </c:pt>
                <c:pt idx="156" c:formatCode="m/d/yyyy">
                  <c:v>0</c:v>
                </c:pt>
                <c:pt idx="157" c:formatCode="m/d/yyyy">
                  <c:v>0</c:v>
                </c:pt>
                <c:pt idx="158" c:formatCode="m/d/yyyy">
                  <c:v>0</c:v>
                </c:pt>
                <c:pt idx="159" c:formatCode="m/d/yyyy">
                  <c:v>0</c:v>
                </c:pt>
                <c:pt idx="160" c:formatCode="m/d/yyyy">
                  <c:v>0</c:v>
                </c:pt>
                <c:pt idx="161" c:formatCode="m/d/yyyy">
                  <c:v>0</c:v>
                </c:pt>
                <c:pt idx="162" c:formatCode="m/d/yyyy">
                  <c:v>0</c:v>
                </c:pt>
                <c:pt idx="163" c:formatCode="m/d/yyyy">
                  <c:v>0</c:v>
                </c:pt>
                <c:pt idx="164" c:formatCode="m/d/yyyy">
                  <c:v>0</c:v>
                </c:pt>
                <c:pt idx="165" c:formatCode="m/d/yyyy">
                  <c:v>0</c:v>
                </c:pt>
                <c:pt idx="166" c:formatCode="m/d/yyyy">
                  <c:v>0</c:v>
                </c:pt>
                <c:pt idx="167" c:formatCode="m/d/yyyy">
                  <c:v>0</c:v>
                </c:pt>
                <c:pt idx="168" c:formatCode="m/d/yyyy">
                  <c:v>0</c:v>
                </c:pt>
                <c:pt idx="169" c:formatCode="m/d/yyyy">
                  <c:v>0</c:v>
                </c:pt>
                <c:pt idx="170" c:formatCode="m/d/yyyy">
                  <c:v>0</c:v>
                </c:pt>
                <c:pt idx="171" c:formatCode="m/d/yyyy">
                  <c:v>0</c:v>
                </c:pt>
                <c:pt idx="172" c:formatCode="m/d/yyyy">
                  <c:v>0</c:v>
                </c:pt>
                <c:pt idx="173" c:formatCode="m/d/yyyy">
                  <c:v>0</c:v>
                </c:pt>
                <c:pt idx="174" c:formatCode="m/d/yyyy">
                  <c:v>0</c:v>
                </c:pt>
                <c:pt idx="175" c:formatCode="m/d/yyyy">
                  <c:v>0</c:v>
                </c:pt>
                <c:pt idx="176" c:formatCode="m/d/yyyy">
                  <c:v>0</c:v>
                </c:pt>
                <c:pt idx="177" c:formatCode="m/d/yyyy">
                  <c:v>0</c:v>
                </c:pt>
                <c:pt idx="178" c:formatCode="m/d/yyyy">
                  <c:v>0</c:v>
                </c:pt>
                <c:pt idx="179" c:formatCode="m/d/yyyy">
                  <c:v>0</c:v>
                </c:pt>
                <c:pt idx="180" c:formatCode="m/d/yyyy">
                  <c:v>0</c:v>
                </c:pt>
                <c:pt idx="181" c:formatCode="m/d/yyyy">
                  <c:v>0</c:v>
                </c:pt>
                <c:pt idx="182" c:formatCode="m/d/yyyy">
                  <c:v>0</c:v>
                </c:pt>
                <c:pt idx="183" c:formatCode="m/d/yyyy">
                  <c:v>0</c:v>
                </c:pt>
                <c:pt idx="184" c:formatCode="m/d/yyyy">
                  <c:v>0</c:v>
                </c:pt>
                <c:pt idx="185" c:formatCode="m/d/yyyy">
                  <c:v>0</c:v>
                </c:pt>
                <c:pt idx="186" c:formatCode="m/d/yyyy">
                  <c:v>0</c:v>
                </c:pt>
                <c:pt idx="187" c:formatCode="m/d/yyyy">
                  <c:v>0</c:v>
                </c:pt>
                <c:pt idx="188" c:formatCode="m/d/yyyy">
                  <c:v>0</c:v>
                </c:pt>
                <c:pt idx="189" c:formatCode="m/d/yyyy">
                  <c:v>0</c:v>
                </c:pt>
                <c:pt idx="190" c:formatCode="m/d/yyyy">
                  <c:v>0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   VOLUME'!$D$3:$D$214</c:f>
              <c:numCache>
                <c:formatCode>0.0</c:formatCode>
                <c:ptCount val="212"/>
                <c:pt idx="1">
                  <c:v>36</c:v>
                </c:pt>
                <c:pt idx="3">
                  <c:v>10</c:v>
                </c:pt>
                <c:pt idx="4">
                  <c:v>16</c:v>
                </c:pt>
                <c:pt idx="6">
                  <c:v>46</c:v>
                </c:pt>
                <c:pt idx="8">
                  <c:v>16</c:v>
                </c:pt>
                <c:pt idx="11">
                  <c:v>46</c:v>
                </c:pt>
                <c:pt idx="16">
                  <c:v>10</c:v>
                </c:pt>
                <c:pt idx="20">
                  <c:v>10</c:v>
                </c:pt>
                <c:pt idx="25">
                  <c:v>10</c:v>
                </c:pt>
                <c:pt idx="30">
                  <c:v>10</c:v>
                </c:pt>
                <c:pt idx="38">
                  <c:v>47</c:v>
                </c:pt>
                <c:pt idx="39">
                  <c:v>10</c:v>
                </c:pt>
                <c:pt idx="44">
                  <c:v>10</c:v>
                </c:pt>
                <c:pt idx="49">
                  <c:v>10</c:v>
                </c:pt>
                <c:pt idx="54">
                  <c:v>10</c:v>
                </c:pt>
                <c:pt idx="167">
                  <c:v>227.3</c:v>
                </c:pt>
                <c:pt idx="169">
                  <c:v>8</c:v>
                </c:pt>
                <c:pt idx="174">
                  <c:v>8</c:v>
                </c:pt>
                <c:pt idx="179">
                  <c:v>8</c:v>
                </c:pt>
                <c:pt idx="2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469568"/>
        <c:axId val="295472064"/>
      </c:barChart>
      <c:dateAx>
        <c:axId val="295469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295472064"/>
        <c:crosses val="autoZero"/>
        <c:auto val="1"/>
        <c:lblOffset val="100"/>
        <c:baseTimeUnit val="days"/>
        <c:majorUnit val="10"/>
        <c:majorTimeUnit val="days"/>
        <c:minorUnit val="2"/>
        <c:minorTimeUnit val="days"/>
      </c:dateAx>
      <c:valAx>
        <c:axId val="29547206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2954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1293523280688"/>
          <c:y val="0.871295034309052"/>
          <c:w val="0.719339735712227"/>
          <c:h val="0.1107677459600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d0d22db-5e80-4007-93e9-5bb5d94950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r>
              <a:rPr lang="az-Latn-AZ" sz="1800" b="1"/>
              <a:t>AZIR*</a:t>
            </a:r>
            <a:r>
              <a:rPr lang="az-Latn-AZ" sz="1800" b="1" baseline="0"/>
              <a:t> indekslərinin say dinamikası</a:t>
            </a:r>
            <a:endParaRPr lang="az-Latn-AZ" sz="1800" b="1" baseline="0"/>
          </a:p>
        </c:rich>
      </c:tx>
      <c:layout>
        <c:manualLayout>
          <c:xMode val="edge"/>
          <c:yMode val="edge"/>
          <c:x val="0.227981317413559"/>
          <c:y val="0.04514672686230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10291958780818"/>
          <c:y val="0.110359308534709"/>
          <c:w val="0.898041377034474"/>
          <c:h val="0.6110876549914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'1D AZIR və 1W AZIR   COUNT'!$C$2</c:f>
              <c:strCache>
                <c:ptCount val="1"/>
                <c:pt idx="0">
                  <c:v>1D AZIR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7030A0"/>
              </a:solidFill>
            </a:ln>
            <a:effectLst/>
          </c:spPr>
          <c:invertIfNegative val="0"/>
          <c:dLbls>
            <c:delete val="1"/>
          </c:dLbls>
          <c:cat>
            <c:numRef>
              <c:f>'1D AZIR və 1W AZIR   COUNT'!$B$3:$B$214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0</c:v>
                </c:pt>
                <c:pt idx="94" c:formatCode="m/d/yyyy">
                  <c:v>0</c:v>
                </c:pt>
                <c:pt idx="95" c:formatCode="m/d/yyyy">
                  <c:v>0</c:v>
                </c:pt>
                <c:pt idx="96" c:formatCode="m/d/yyyy">
                  <c:v>0</c:v>
                </c:pt>
                <c:pt idx="97" c:formatCode="m/d/yyyy">
                  <c:v>0</c:v>
                </c:pt>
                <c:pt idx="98" c:formatCode="m/d/yyyy">
                  <c:v>0</c:v>
                </c:pt>
                <c:pt idx="99" c:formatCode="m/d/yyyy">
                  <c:v>0</c:v>
                </c:pt>
                <c:pt idx="100" c:formatCode="m/d/yyyy">
                  <c:v>0</c:v>
                </c:pt>
                <c:pt idx="101" c:formatCode="m/d/yyyy">
                  <c:v>0</c:v>
                </c:pt>
                <c:pt idx="102" c:formatCode="m/d/yyyy">
                  <c:v>0</c:v>
                </c:pt>
                <c:pt idx="103" c:formatCode="m/d/yyyy">
                  <c:v>0</c:v>
                </c:pt>
                <c:pt idx="104" c:formatCode="m/d/yyyy">
                  <c:v>0</c:v>
                </c:pt>
                <c:pt idx="105" c:formatCode="m/d/yyyy">
                  <c:v>0</c:v>
                </c:pt>
                <c:pt idx="106" c:formatCode="m/d/yyyy">
                  <c:v>0</c:v>
                </c:pt>
                <c:pt idx="107" c:formatCode="m/d/yyyy">
                  <c:v>0</c:v>
                </c:pt>
                <c:pt idx="108" c:formatCode="m/d/yyyy">
                  <c:v>0</c:v>
                </c:pt>
                <c:pt idx="109" c:formatCode="m/d/yyyy">
                  <c:v>0</c:v>
                </c:pt>
                <c:pt idx="110" c:formatCode="m/d/yyyy">
                  <c:v>0</c:v>
                </c:pt>
                <c:pt idx="111" c:formatCode="m/d/yyyy">
                  <c:v>0</c:v>
                </c:pt>
                <c:pt idx="112" c:formatCode="m/d/yyyy">
                  <c:v>0</c:v>
                </c:pt>
                <c:pt idx="113" c:formatCode="m/d/yyyy">
                  <c:v>0</c:v>
                </c:pt>
                <c:pt idx="114" c:formatCode="m/d/yyyy">
                  <c:v>0</c:v>
                </c:pt>
                <c:pt idx="115" c:formatCode="m/d/yyyy">
                  <c:v>0</c:v>
                </c:pt>
                <c:pt idx="116" c:formatCode="m/d/yyyy">
                  <c:v>0</c:v>
                </c:pt>
                <c:pt idx="117" c:formatCode="m/d/yyyy">
                  <c:v>0</c:v>
                </c:pt>
                <c:pt idx="118" c:formatCode="m/d/yyyy">
                  <c:v>0</c:v>
                </c:pt>
                <c:pt idx="119" c:formatCode="m/d/yyyy">
                  <c:v>0</c:v>
                </c:pt>
                <c:pt idx="120" c:formatCode="m/d/yyyy">
                  <c:v>0</c:v>
                </c:pt>
                <c:pt idx="121" c:formatCode="m/d/yyyy">
                  <c:v>0</c:v>
                </c:pt>
                <c:pt idx="122" c:formatCode="m/d/yyyy">
                  <c:v>0</c:v>
                </c:pt>
                <c:pt idx="123" c:formatCode="m/d/yyyy">
                  <c:v>0</c:v>
                </c:pt>
                <c:pt idx="124" c:formatCode="m/d/yyyy">
                  <c:v>0</c:v>
                </c:pt>
                <c:pt idx="125" c:formatCode="m/d/yyyy">
                  <c:v>0</c:v>
                </c:pt>
                <c:pt idx="126" c:formatCode="m/d/yyyy">
                  <c:v>0</c:v>
                </c:pt>
                <c:pt idx="127" c:formatCode="m/d/yyyy">
                  <c:v>0</c:v>
                </c:pt>
                <c:pt idx="128" c:formatCode="m/d/yyyy">
                  <c:v>0</c:v>
                </c:pt>
                <c:pt idx="129" c:formatCode="m/d/yyyy">
                  <c:v>0</c:v>
                </c:pt>
                <c:pt idx="130" c:formatCode="m/d/yyyy">
                  <c:v>0</c:v>
                </c:pt>
                <c:pt idx="131" c:formatCode="m/d/yyyy">
                  <c:v>0</c:v>
                </c:pt>
                <c:pt idx="132" c:formatCode="m/d/yyyy">
                  <c:v>0</c:v>
                </c:pt>
                <c:pt idx="133" c:formatCode="m/d/yyyy">
                  <c:v>0</c:v>
                </c:pt>
                <c:pt idx="134" c:formatCode="m/d/yyyy">
                  <c:v>0</c:v>
                </c:pt>
                <c:pt idx="135" c:formatCode="m/d/yyyy">
                  <c:v>0</c:v>
                </c:pt>
                <c:pt idx="136" c:formatCode="m/d/yyyy">
                  <c:v>0</c:v>
                </c:pt>
                <c:pt idx="137" c:formatCode="m/d/yyyy">
                  <c:v>0</c:v>
                </c:pt>
                <c:pt idx="138" c:formatCode="m/d/yyyy">
                  <c:v>0</c:v>
                </c:pt>
                <c:pt idx="139" c:formatCode="m/d/yyyy">
                  <c:v>0</c:v>
                </c:pt>
                <c:pt idx="140" c:formatCode="m/d/yyyy">
                  <c:v>0</c:v>
                </c:pt>
                <c:pt idx="141" c:formatCode="m/d/yyyy">
                  <c:v>0</c:v>
                </c:pt>
                <c:pt idx="142" c:formatCode="m/d/yyyy">
                  <c:v>0</c:v>
                </c:pt>
                <c:pt idx="143" c:formatCode="m/d/yyyy">
                  <c:v>0</c:v>
                </c:pt>
                <c:pt idx="144" c:formatCode="m/d/yyyy">
                  <c:v>0</c:v>
                </c:pt>
                <c:pt idx="145" c:formatCode="m/d/yyyy">
                  <c:v>0</c:v>
                </c:pt>
                <c:pt idx="146" c:formatCode="m/d/yyyy">
                  <c:v>0</c:v>
                </c:pt>
                <c:pt idx="147" c:formatCode="m/d/yyyy">
                  <c:v>0</c:v>
                </c:pt>
                <c:pt idx="148" c:formatCode="m/d/yyyy">
                  <c:v>0</c:v>
                </c:pt>
                <c:pt idx="149" c:formatCode="m/d/yyyy">
                  <c:v>0</c:v>
                </c:pt>
                <c:pt idx="150" c:formatCode="m/d/yyyy">
                  <c:v>0</c:v>
                </c:pt>
                <c:pt idx="151" c:formatCode="m/d/yyyy">
                  <c:v>0</c:v>
                </c:pt>
                <c:pt idx="152" c:formatCode="m/d/yyyy">
                  <c:v>0</c:v>
                </c:pt>
                <c:pt idx="153" c:formatCode="m/d/yyyy">
                  <c:v>0</c:v>
                </c:pt>
                <c:pt idx="154" c:formatCode="m/d/yyyy">
                  <c:v>0</c:v>
                </c:pt>
                <c:pt idx="155" c:formatCode="m/d/yyyy">
                  <c:v>0</c:v>
                </c:pt>
                <c:pt idx="156" c:formatCode="m/d/yyyy">
                  <c:v>0</c:v>
                </c:pt>
                <c:pt idx="157" c:formatCode="m/d/yyyy">
                  <c:v>0</c:v>
                </c:pt>
                <c:pt idx="158" c:formatCode="m/d/yyyy">
                  <c:v>0</c:v>
                </c:pt>
                <c:pt idx="159" c:formatCode="m/d/yyyy">
                  <c:v>0</c:v>
                </c:pt>
                <c:pt idx="160" c:formatCode="m/d/yyyy">
                  <c:v>0</c:v>
                </c:pt>
                <c:pt idx="161" c:formatCode="m/d/yyyy">
                  <c:v>0</c:v>
                </c:pt>
                <c:pt idx="162" c:formatCode="m/d/yyyy">
                  <c:v>0</c:v>
                </c:pt>
                <c:pt idx="163" c:formatCode="m/d/yyyy">
                  <c:v>0</c:v>
                </c:pt>
                <c:pt idx="164" c:formatCode="m/d/yyyy">
                  <c:v>0</c:v>
                </c:pt>
                <c:pt idx="165" c:formatCode="m/d/yyyy">
                  <c:v>0</c:v>
                </c:pt>
                <c:pt idx="166" c:formatCode="m/d/yyyy">
                  <c:v>0</c:v>
                </c:pt>
                <c:pt idx="167" c:formatCode="m/d/yyyy">
                  <c:v>0</c:v>
                </c:pt>
                <c:pt idx="168" c:formatCode="m/d/yyyy">
                  <c:v>0</c:v>
                </c:pt>
                <c:pt idx="169" c:formatCode="m/d/yyyy">
                  <c:v>0</c:v>
                </c:pt>
                <c:pt idx="170" c:formatCode="m/d/yyyy">
                  <c:v>0</c:v>
                </c:pt>
                <c:pt idx="171" c:formatCode="m/d/yyyy">
                  <c:v>0</c:v>
                </c:pt>
                <c:pt idx="172" c:formatCode="m/d/yyyy">
                  <c:v>0</c:v>
                </c:pt>
                <c:pt idx="173" c:formatCode="m/d/yyyy">
                  <c:v>0</c:v>
                </c:pt>
                <c:pt idx="174" c:formatCode="m/d/yyyy">
                  <c:v>0</c:v>
                </c:pt>
                <c:pt idx="175" c:formatCode="m/d/yyyy">
                  <c:v>0</c:v>
                </c:pt>
                <c:pt idx="176" c:formatCode="m/d/yyyy">
                  <c:v>0</c:v>
                </c:pt>
                <c:pt idx="177" c:formatCode="m/d/yyyy">
                  <c:v>0</c:v>
                </c:pt>
                <c:pt idx="178" c:formatCode="m/d/yyyy">
                  <c:v>0</c:v>
                </c:pt>
                <c:pt idx="179" c:formatCode="m/d/yyyy">
                  <c:v>0</c:v>
                </c:pt>
                <c:pt idx="180" c:formatCode="m/d/yyyy">
                  <c:v>0</c:v>
                </c:pt>
                <c:pt idx="181" c:formatCode="m/d/yyyy">
                  <c:v>0</c:v>
                </c:pt>
                <c:pt idx="182" c:formatCode="m/d/yyyy">
                  <c:v>0</c:v>
                </c:pt>
                <c:pt idx="183" c:formatCode="m/d/yyyy">
                  <c:v>0</c:v>
                </c:pt>
                <c:pt idx="184" c:formatCode="m/d/yyyy">
                  <c:v>0</c:v>
                </c:pt>
                <c:pt idx="185" c:formatCode="m/d/yyyy">
                  <c:v>0</c:v>
                </c:pt>
                <c:pt idx="186" c:formatCode="m/d/yyyy">
                  <c:v>0</c:v>
                </c:pt>
                <c:pt idx="187" c:formatCode="m/d/yyyy">
                  <c:v>0</c:v>
                </c:pt>
                <c:pt idx="188" c:formatCode="m/d/yyyy">
                  <c:v>0</c:v>
                </c:pt>
                <c:pt idx="189" c:formatCode="m/d/yyyy">
                  <c:v>0</c:v>
                </c:pt>
                <c:pt idx="190" c:formatCode="m/d/yyyy">
                  <c:v>0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   COUNT'!$C$3:$C$214</c:f>
              <c:numCache>
                <c:formatCode>0</c:formatCode>
                <c:ptCount val="212"/>
                <c:pt idx="0">
                  <c:v>11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15</c:v>
                </c:pt>
                <c:pt idx="6">
                  <c:v>14</c:v>
                </c:pt>
                <c:pt idx="7">
                  <c:v>17</c:v>
                </c:pt>
                <c:pt idx="8">
                  <c:v>14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16</c:v>
                </c:pt>
                <c:pt idx="14">
                  <c:v>12</c:v>
                </c:pt>
                <c:pt idx="15">
                  <c:v>14</c:v>
                </c:pt>
                <c:pt idx="16">
                  <c:v>19</c:v>
                </c:pt>
                <c:pt idx="17">
                  <c:v>22</c:v>
                </c:pt>
                <c:pt idx="19">
                  <c:v>21</c:v>
                </c:pt>
                <c:pt idx="20">
                  <c:v>18</c:v>
                </c:pt>
                <c:pt idx="21">
                  <c:v>16</c:v>
                </c:pt>
                <c:pt idx="22">
                  <c:v>16</c:v>
                </c:pt>
                <c:pt idx="23">
                  <c:v>18</c:v>
                </c:pt>
                <c:pt idx="24">
                  <c:v>18</c:v>
                </c:pt>
                <c:pt idx="25">
                  <c:v>16</c:v>
                </c:pt>
                <c:pt idx="26">
                  <c:v>15</c:v>
                </c:pt>
                <c:pt idx="27">
                  <c:v>14</c:v>
                </c:pt>
                <c:pt idx="28">
                  <c:v>15</c:v>
                </c:pt>
                <c:pt idx="29">
                  <c:v>12</c:v>
                </c:pt>
                <c:pt idx="30">
                  <c:v>14</c:v>
                </c:pt>
                <c:pt idx="31">
                  <c:v>16</c:v>
                </c:pt>
                <c:pt idx="32">
                  <c:v>11</c:v>
                </c:pt>
                <c:pt idx="33">
                  <c:v>12</c:v>
                </c:pt>
                <c:pt idx="34">
                  <c:v>13</c:v>
                </c:pt>
                <c:pt idx="35">
                  <c:v>16</c:v>
                </c:pt>
                <c:pt idx="36">
                  <c:v>14</c:v>
                </c:pt>
                <c:pt idx="37">
                  <c:v>14</c:v>
                </c:pt>
                <c:pt idx="39">
                  <c:v>11</c:v>
                </c:pt>
                <c:pt idx="40">
                  <c:v>10</c:v>
                </c:pt>
                <c:pt idx="41">
                  <c:v>12</c:v>
                </c:pt>
                <c:pt idx="42">
                  <c:v>10</c:v>
                </c:pt>
                <c:pt idx="43">
                  <c:v>13</c:v>
                </c:pt>
                <c:pt idx="44">
                  <c:v>13</c:v>
                </c:pt>
                <c:pt idx="45">
                  <c:v>12</c:v>
                </c:pt>
                <c:pt idx="46">
                  <c:v>10</c:v>
                </c:pt>
                <c:pt idx="47">
                  <c:v>12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9</c:v>
                </c:pt>
                <c:pt idx="52">
                  <c:v>10</c:v>
                </c:pt>
                <c:pt idx="53">
                  <c:v>8</c:v>
                </c:pt>
                <c:pt idx="54">
                  <c:v>7</c:v>
                </c:pt>
                <c:pt idx="55">
                  <c:v>8</c:v>
                </c:pt>
                <c:pt idx="56">
                  <c:v>8</c:v>
                </c:pt>
                <c:pt idx="57">
                  <c:v>10</c:v>
                </c:pt>
                <c:pt idx="58">
                  <c:v>9</c:v>
                </c:pt>
                <c:pt idx="59">
                  <c:v>12</c:v>
                </c:pt>
                <c:pt idx="60">
                  <c:v>12</c:v>
                </c:pt>
                <c:pt idx="61">
                  <c:v>13</c:v>
                </c:pt>
                <c:pt idx="62">
                  <c:v>11</c:v>
                </c:pt>
                <c:pt idx="63">
                  <c:v>10</c:v>
                </c:pt>
                <c:pt idx="64">
                  <c:v>12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12</c:v>
                </c:pt>
                <c:pt idx="70">
                  <c:v>15</c:v>
                </c:pt>
                <c:pt idx="71">
                  <c:v>17</c:v>
                </c:pt>
                <c:pt idx="72">
                  <c:v>15</c:v>
                </c:pt>
                <c:pt idx="73">
                  <c:v>16</c:v>
                </c:pt>
                <c:pt idx="74">
                  <c:v>16</c:v>
                </c:pt>
                <c:pt idx="75">
                  <c:v>16</c:v>
                </c:pt>
                <c:pt idx="76">
                  <c:v>17</c:v>
                </c:pt>
                <c:pt idx="77">
                  <c:v>16</c:v>
                </c:pt>
                <c:pt idx="78">
                  <c:v>23</c:v>
                </c:pt>
                <c:pt idx="79">
                  <c:v>25</c:v>
                </c:pt>
                <c:pt idx="80">
                  <c:v>25</c:v>
                </c:pt>
                <c:pt idx="81">
                  <c:v>21</c:v>
                </c:pt>
                <c:pt idx="82">
                  <c:v>17</c:v>
                </c:pt>
                <c:pt idx="83">
                  <c:v>21</c:v>
                </c:pt>
                <c:pt idx="84">
                  <c:v>26</c:v>
                </c:pt>
                <c:pt idx="85">
                  <c:v>28</c:v>
                </c:pt>
                <c:pt idx="86">
                  <c:v>23</c:v>
                </c:pt>
                <c:pt idx="87">
                  <c:v>28</c:v>
                </c:pt>
                <c:pt idx="88">
                  <c:v>26</c:v>
                </c:pt>
                <c:pt idx="89">
                  <c:v>9</c:v>
                </c:pt>
                <c:pt idx="90">
                  <c:v>2</c:v>
                </c:pt>
                <c:pt idx="112">
                  <c:v>1</c:v>
                </c:pt>
                <c:pt idx="136">
                  <c:v>2</c:v>
                </c:pt>
                <c:pt idx="137">
                  <c:v>1</c:v>
                </c:pt>
                <c:pt idx="138">
                  <c:v>1</c:v>
                </c:pt>
                <c:pt idx="139">
                  <c:v>3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5</c:v>
                </c:pt>
                <c:pt idx="144">
                  <c:v>5</c:v>
                </c:pt>
                <c:pt idx="156">
                  <c:v>8</c:v>
                </c:pt>
                <c:pt idx="157">
                  <c:v>14</c:v>
                </c:pt>
                <c:pt idx="158">
                  <c:v>13</c:v>
                </c:pt>
                <c:pt idx="159">
                  <c:v>16</c:v>
                </c:pt>
                <c:pt idx="160">
                  <c:v>13</c:v>
                </c:pt>
                <c:pt idx="161">
                  <c:v>13</c:v>
                </c:pt>
                <c:pt idx="162">
                  <c:v>14</c:v>
                </c:pt>
                <c:pt idx="163">
                  <c:v>14</c:v>
                </c:pt>
                <c:pt idx="164">
                  <c:v>15</c:v>
                </c:pt>
                <c:pt idx="165">
                  <c:v>13</c:v>
                </c:pt>
                <c:pt idx="166">
                  <c:v>8</c:v>
                </c:pt>
                <c:pt idx="168">
                  <c:v>3</c:v>
                </c:pt>
                <c:pt idx="169">
                  <c:v>8</c:v>
                </c:pt>
                <c:pt idx="170">
                  <c:v>9</c:v>
                </c:pt>
                <c:pt idx="171">
                  <c:v>10</c:v>
                </c:pt>
                <c:pt idx="172">
                  <c:v>10</c:v>
                </c:pt>
                <c:pt idx="173">
                  <c:v>6</c:v>
                </c:pt>
                <c:pt idx="174">
                  <c:v>13</c:v>
                </c:pt>
                <c:pt idx="175">
                  <c:v>21</c:v>
                </c:pt>
                <c:pt idx="176">
                  <c:v>21</c:v>
                </c:pt>
                <c:pt idx="177">
                  <c:v>18</c:v>
                </c:pt>
                <c:pt idx="178">
                  <c:v>19</c:v>
                </c:pt>
                <c:pt idx="179">
                  <c:v>21</c:v>
                </c:pt>
                <c:pt idx="180">
                  <c:v>17</c:v>
                </c:pt>
                <c:pt idx="181">
                  <c:v>18</c:v>
                </c:pt>
                <c:pt idx="182">
                  <c:v>14</c:v>
                </c:pt>
                <c:pt idx="183">
                  <c:v>13</c:v>
                </c:pt>
                <c:pt idx="184">
                  <c:v>11</c:v>
                </c:pt>
                <c:pt idx="185">
                  <c:v>13</c:v>
                </c:pt>
                <c:pt idx="186">
                  <c:v>14</c:v>
                </c:pt>
                <c:pt idx="187">
                  <c:v>6</c:v>
                </c:pt>
                <c:pt idx="188">
                  <c:v>11</c:v>
                </c:pt>
                <c:pt idx="189">
                  <c:v>10</c:v>
                </c:pt>
                <c:pt idx="190">
                  <c:v>10</c:v>
                </c:pt>
                <c:pt idx="191">
                  <c:v>8</c:v>
                </c:pt>
                <c:pt idx="192">
                  <c:v>12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</c:numCache>
            </c:numRef>
          </c:val>
        </c:ser>
        <c:ser>
          <c:idx val="1"/>
          <c:order val="1"/>
          <c:tx>
            <c:strRef>
              <c:f>'1D AZIR və 1W AZIR   COUNT'!$D$2</c:f>
              <c:strCache>
                <c:ptCount val="1"/>
                <c:pt idx="0">
                  <c:v>1W AZIR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'1D AZIR və 1W AZIR   COUNT'!$B$3:$B$214</c:f>
              <c:numCache>
                <c:formatCode>m/d/yyyy</c:formatCode>
                <c:ptCount val="212"/>
                <c:pt idx="0" c:formatCode="m/d/yyyy">
                  <c:v>45047</c:v>
                </c:pt>
                <c:pt idx="1" c:formatCode="m/d/yyyy">
                  <c:v>45048</c:v>
                </c:pt>
                <c:pt idx="2" c:formatCode="m/d/yyyy">
                  <c:v>45049</c:v>
                </c:pt>
                <c:pt idx="3" c:formatCode="m/d/yyyy">
                  <c:v>45050</c:v>
                </c:pt>
                <c:pt idx="4" c:formatCode="m/d/yyyy">
                  <c:v>45051</c:v>
                </c:pt>
                <c:pt idx="5" c:formatCode="m/d/yyyy">
                  <c:v>45054</c:v>
                </c:pt>
                <c:pt idx="6" c:formatCode="m/d/yyyy">
                  <c:v>45056</c:v>
                </c:pt>
                <c:pt idx="7" c:formatCode="m/d/yyyy">
                  <c:v>45057</c:v>
                </c:pt>
                <c:pt idx="8" c:formatCode="m/d/yyyy">
                  <c:v>45058</c:v>
                </c:pt>
                <c:pt idx="9" c:formatCode="m/d/yyyy">
                  <c:v>45061</c:v>
                </c:pt>
                <c:pt idx="10" c:formatCode="m/d/yyyy">
                  <c:v>45062</c:v>
                </c:pt>
                <c:pt idx="11" c:formatCode="m/d/yyyy">
                  <c:v>45063</c:v>
                </c:pt>
                <c:pt idx="12" c:formatCode="m/d/yyyy">
                  <c:v>45064</c:v>
                </c:pt>
                <c:pt idx="13" c:formatCode="m/d/yyyy">
                  <c:v>45065</c:v>
                </c:pt>
                <c:pt idx="14" c:formatCode="m/d/yyyy">
                  <c:v>45068</c:v>
                </c:pt>
                <c:pt idx="15" c:formatCode="m/d/yyyy">
                  <c:v>45069</c:v>
                </c:pt>
                <c:pt idx="16" c:formatCode="m/d/yyyy">
                  <c:v>45070</c:v>
                </c:pt>
                <c:pt idx="17" c:formatCode="m/d/yyyy">
                  <c:v>45071</c:v>
                </c:pt>
                <c:pt idx="18" c:formatCode="m/d/yyyy">
                  <c:v>45072</c:v>
                </c:pt>
                <c:pt idx="19" c:formatCode="m/d/yyyy">
                  <c:v>45076</c:v>
                </c:pt>
                <c:pt idx="20" c:formatCode="m/d/yyyy">
                  <c:v>45077</c:v>
                </c:pt>
                <c:pt idx="21" c:formatCode="m/d/yyyy">
                  <c:v>45078</c:v>
                </c:pt>
                <c:pt idx="22" c:formatCode="m/d/yyyy">
                  <c:v>45079</c:v>
                </c:pt>
                <c:pt idx="23" c:formatCode="m/d/yyyy">
                  <c:v>45082</c:v>
                </c:pt>
                <c:pt idx="24" c:formatCode="m/d/yyyy">
                  <c:v>45083</c:v>
                </c:pt>
                <c:pt idx="25" c:formatCode="m/d/yyyy">
                  <c:v>45084</c:v>
                </c:pt>
                <c:pt idx="26" c:formatCode="m/d/yyyy">
                  <c:v>45085</c:v>
                </c:pt>
                <c:pt idx="27" c:formatCode="m/d/yyyy">
                  <c:v>45086</c:v>
                </c:pt>
                <c:pt idx="28" c:formatCode="m/d/yyyy">
                  <c:v>45089</c:v>
                </c:pt>
                <c:pt idx="29" c:formatCode="m/d/yyyy">
                  <c:v>45090</c:v>
                </c:pt>
                <c:pt idx="30" c:formatCode="m/d/yyyy">
                  <c:v>45091</c:v>
                </c:pt>
                <c:pt idx="31" c:formatCode="m/d/yyyy">
                  <c:v>45093</c:v>
                </c:pt>
                <c:pt idx="32" c:formatCode="m/d/yyyy">
                  <c:v>45096</c:v>
                </c:pt>
                <c:pt idx="33" c:formatCode="m/d/yyyy">
                  <c:v>45097</c:v>
                </c:pt>
                <c:pt idx="34" c:formatCode="m/d/yyyy">
                  <c:v>45098</c:v>
                </c:pt>
                <c:pt idx="35" c:formatCode="m/d/yyyy">
                  <c:v>45099</c:v>
                </c:pt>
                <c:pt idx="36" c:formatCode="m/d/yyyy">
                  <c:v>45100</c:v>
                </c:pt>
                <c:pt idx="37" c:formatCode="m/d/yyyy">
                  <c:v>45101</c:v>
                </c:pt>
                <c:pt idx="38" c:formatCode="m/d/yyyy">
                  <c:v>45102</c:v>
                </c:pt>
                <c:pt idx="39" c:formatCode="m/d/yyyy">
                  <c:v>45110</c:v>
                </c:pt>
                <c:pt idx="40" c:formatCode="m/d/yyyy">
                  <c:v>45111</c:v>
                </c:pt>
                <c:pt idx="41" c:formatCode="m/d/yyyy">
                  <c:v>45112</c:v>
                </c:pt>
                <c:pt idx="42" c:formatCode="m/d/yyyy">
                  <c:v>45113</c:v>
                </c:pt>
                <c:pt idx="43" c:formatCode="m/d/yyyy">
                  <c:v>45114</c:v>
                </c:pt>
                <c:pt idx="44" c:formatCode="m/d/yyyy">
                  <c:v>45117</c:v>
                </c:pt>
                <c:pt idx="45" c:formatCode="m/d/yyyy">
                  <c:v>45118</c:v>
                </c:pt>
                <c:pt idx="46" c:formatCode="m/d/yyyy">
                  <c:v>45119</c:v>
                </c:pt>
                <c:pt idx="47" c:formatCode="m/d/yyyy">
                  <c:v>45120</c:v>
                </c:pt>
                <c:pt idx="48" c:formatCode="m/d/yyyy">
                  <c:v>45121</c:v>
                </c:pt>
                <c:pt idx="49" c:formatCode="m/d/yyyy">
                  <c:v>45124</c:v>
                </c:pt>
                <c:pt idx="50" c:formatCode="m/d/yyyy">
                  <c:v>45125</c:v>
                </c:pt>
                <c:pt idx="51" c:formatCode="m/d/yyyy">
                  <c:v>45126</c:v>
                </c:pt>
                <c:pt idx="52" c:formatCode="m/d/yyyy">
                  <c:v>45127</c:v>
                </c:pt>
                <c:pt idx="53" c:formatCode="m/d/yyyy">
                  <c:v>45128</c:v>
                </c:pt>
                <c:pt idx="54" c:formatCode="m/d/yyyy">
                  <c:v>45131</c:v>
                </c:pt>
                <c:pt idx="55" c:formatCode="m/d/yyyy">
                  <c:v>45132</c:v>
                </c:pt>
                <c:pt idx="56" c:formatCode="m/d/yyyy">
                  <c:v>45133</c:v>
                </c:pt>
                <c:pt idx="57" c:formatCode="m/d/yyyy">
                  <c:v>45134</c:v>
                </c:pt>
                <c:pt idx="58" c:formatCode="m/d/yyyy">
                  <c:v>45135</c:v>
                </c:pt>
                <c:pt idx="59" c:formatCode="m/d/yyyy">
                  <c:v>45138</c:v>
                </c:pt>
                <c:pt idx="60" c:formatCode="m/d/yyyy">
                  <c:v>45139</c:v>
                </c:pt>
                <c:pt idx="61" c:formatCode="m/d/yyyy">
                  <c:v>45140</c:v>
                </c:pt>
                <c:pt idx="62" c:formatCode="m/d/yyyy">
                  <c:v>45141</c:v>
                </c:pt>
                <c:pt idx="63" c:formatCode="m/d/yyyy">
                  <c:v>45142</c:v>
                </c:pt>
                <c:pt idx="64" c:formatCode="m/d/yyyy">
                  <c:v>45145</c:v>
                </c:pt>
                <c:pt idx="65" c:formatCode="m/d/yyyy">
                  <c:v>45146</c:v>
                </c:pt>
                <c:pt idx="66" c:formatCode="m/d/yyyy">
                  <c:v>45147</c:v>
                </c:pt>
                <c:pt idx="67" c:formatCode="m/d/yyyy">
                  <c:v>45148</c:v>
                </c:pt>
                <c:pt idx="68" c:formatCode="m/d/yyyy">
                  <c:v>45149</c:v>
                </c:pt>
                <c:pt idx="69" c:formatCode="m/d/yyyy">
                  <c:v>45152</c:v>
                </c:pt>
                <c:pt idx="70" c:formatCode="m/d/yyyy">
                  <c:v>45153</c:v>
                </c:pt>
                <c:pt idx="71" c:formatCode="m/d/yyyy">
                  <c:v>45154</c:v>
                </c:pt>
                <c:pt idx="72" c:formatCode="m/d/yyyy">
                  <c:v>45155</c:v>
                </c:pt>
                <c:pt idx="73" c:formatCode="m/d/yyyy">
                  <c:v>45156</c:v>
                </c:pt>
                <c:pt idx="74" c:formatCode="m/d/yyyy">
                  <c:v>45159</c:v>
                </c:pt>
                <c:pt idx="75" c:formatCode="m/d/yyyy">
                  <c:v>45160</c:v>
                </c:pt>
                <c:pt idx="76" c:formatCode="m/d/yyyy">
                  <c:v>45161</c:v>
                </c:pt>
                <c:pt idx="77" c:formatCode="m/d/yyyy">
                  <c:v>45162</c:v>
                </c:pt>
                <c:pt idx="78" c:formatCode="m/d/yyyy">
                  <c:v>45163</c:v>
                </c:pt>
                <c:pt idx="79" c:formatCode="m/d/yyyy">
                  <c:v>45166</c:v>
                </c:pt>
                <c:pt idx="80" c:formatCode="m/d/yyyy">
                  <c:v>45167</c:v>
                </c:pt>
                <c:pt idx="81" c:formatCode="m/d/yyyy">
                  <c:v>45168</c:v>
                </c:pt>
                <c:pt idx="82" c:formatCode="m/d/yyyy">
                  <c:v>45169</c:v>
                </c:pt>
                <c:pt idx="83" c:formatCode="m/d/yyyy">
                  <c:v>45170</c:v>
                </c:pt>
                <c:pt idx="84" c:formatCode="m/d/yyyy">
                  <c:v>45173</c:v>
                </c:pt>
                <c:pt idx="85" c:formatCode="m/d/yyyy">
                  <c:v>45174</c:v>
                </c:pt>
                <c:pt idx="86" c:formatCode="m/d/yyyy">
                  <c:v>45175</c:v>
                </c:pt>
                <c:pt idx="87" c:formatCode="m/d/yyyy">
                  <c:v>45176</c:v>
                </c:pt>
                <c:pt idx="88" c:formatCode="m/d/yyyy">
                  <c:v>45177</c:v>
                </c:pt>
                <c:pt idx="89" c:formatCode="m/d/yyyy">
                  <c:v>45180</c:v>
                </c:pt>
                <c:pt idx="90" c:formatCode="m/d/yyyy">
                  <c:v>45181</c:v>
                </c:pt>
                <c:pt idx="91" c:formatCode="m/d/yyyy">
                  <c:v>45182</c:v>
                </c:pt>
                <c:pt idx="92" c:formatCode="m/d/yyyy">
                  <c:v>45183</c:v>
                </c:pt>
                <c:pt idx="93" c:formatCode="m/d/yyyy">
                  <c:v>0</c:v>
                </c:pt>
                <c:pt idx="94" c:formatCode="m/d/yyyy">
                  <c:v>0</c:v>
                </c:pt>
                <c:pt idx="95" c:formatCode="m/d/yyyy">
                  <c:v>0</c:v>
                </c:pt>
                <c:pt idx="96" c:formatCode="m/d/yyyy">
                  <c:v>0</c:v>
                </c:pt>
                <c:pt idx="97" c:formatCode="m/d/yyyy">
                  <c:v>0</c:v>
                </c:pt>
                <c:pt idx="98" c:formatCode="m/d/yyyy">
                  <c:v>0</c:v>
                </c:pt>
                <c:pt idx="99" c:formatCode="m/d/yyyy">
                  <c:v>0</c:v>
                </c:pt>
                <c:pt idx="100" c:formatCode="m/d/yyyy">
                  <c:v>0</c:v>
                </c:pt>
                <c:pt idx="101" c:formatCode="m/d/yyyy">
                  <c:v>0</c:v>
                </c:pt>
                <c:pt idx="102" c:formatCode="m/d/yyyy">
                  <c:v>0</c:v>
                </c:pt>
                <c:pt idx="103" c:formatCode="m/d/yyyy">
                  <c:v>0</c:v>
                </c:pt>
                <c:pt idx="104" c:formatCode="m/d/yyyy">
                  <c:v>0</c:v>
                </c:pt>
                <c:pt idx="105" c:formatCode="m/d/yyyy">
                  <c:v>0</c:v>
                </c:pt>
                <c:pt idx="106" c:formatCode="m/d/yyyy">
                  <c:v>0</c:v>
                </c:pt>
                <c:pt idx="107" c:formatCode="m/d/yyyy">
                  <c:v>0</c:v>
                </c:pt>
                <c:pt idx="108" c:formatCode="m/d/yyyy">
                  <c:v>0</c:v>
                </c:pt>
                <c:pt idx="109" c:formatCode="m/d/yyyy">
                  <c:v>0</c:v>
                </c:pt>
                <c:pt idx="110" c:formatCode="m/d/yyyy">
                  <c:v>0</c:v>
                </c:pt>
                <c:pt idx="111" c:formatCode="m/d/yyyy">
                  <c:v>0</c:v>
                </c:pt>
                <c:pt idx="112" c:formatCode="m/d/yyyy">
                  <c:v>0</c:v>
                </c:pt>
                <c:pt idx="113" c:formatCode="m/d/yyyy">
                  <c:v>0</c:v>
                </c:pt>
                <c:pt idx="114" c:formatCode="m/d/yyyy">
                  <c:v>0</c:v>
                </c:pt>
                <c:pt idx="115" c:formatCode="m/d/yyyy">
                  <c:v>0</c:v>
                </c:pt>
                <c:pt idx="116" c:formatCode="m/d/yyyy">
                  <c:v>0</c:v>
                </c:pt>
                <c:pt idx="117" c:formatCode="m/d/yyyy">
                  <c:v>0</c:v>
                </c:pt>
                <c:pt idx="118" c:formatCode="m/d/yyyy">
                  <c:v>0</c:v>
                </c:pt>
                <c:pt idx="119" c:formatCode="m/d/yyyy">
                  <c:v>0</c:v>
                </c:pt>
                <c:pt idx="120" c:formatCode="m/d/yyyy">
                  <c:v>0</c:v>
                </c:pt>
                <c:pt idx="121" c:formatCode="m/d/yyyy">
                  <c:v>0</c:v>
                </c:pt>
                <c:pt idx="122" c:formatCode="m/d/yyyy">
                  <c:v>0</c:v>
                </c:pt>
                <c:pt idx="123" c:formatCode="m/d/yyyy">
                  <c:v>0</c:v>
                </c:pt>
                <c:pt idx="124" c:formatCode="m/d/yyyy">
                  <c:v>0</c:v>
                </c:pt>
                <c:pt idx="125" c:formatCode="m/d/yyyy">
                  <c:v>0</c:v>
                </c:pt>
                <c:pt idx="126" c:formatCode="m/d/yyyy">
                  <c:v>0</c:v>
                </c:pt>
                <c:pt idx="127" c:formatCode="m/d/yyyy">
                  <c:v>0</c:v>
                </c:pt>
                <c:pt idx="128" c:formatCode="m/d/yyyy">
                  <c:v>0</c:v>
                </c:pt>
                <c:pt idx="129" c:formatCode="m/d/yyyy">
                  <c:v>0</c:v>
                </c:pt>
                <c:pt idx="130" c:formatCode="m/d/yyyy">
                  <c:v>0</c:v>
                </c:pt>
                <c:pt idx="131" c:formatCode="m/d/yyyy">
                  <c:v>0</c:v>
                </c:pt>
                <c:pt idx="132" c:formatCode="m/d/yyyy">
                  <c:v>0</c:v>
                </c:pt>
                <c:pt idx="133" c:formatCode="m/d/yyyy">
                  <c:v>0</c:v>
                </c:pt>
                <c:pt idx="134" c:formatCode="m/d/yyyy">
                  <c:v>0</c:v>
                </c:pt>
                <c:pt idx="135" c:formatCode="m/d/yyyy">
                  <c:v>0</c:v>
                </c:pt>
                <c:pt idx="136" c:formatCode="m/d/yyyy">
                  <c:v>0</c:v>
                </c:pt>
                <c:pt idx="137" c:formatCode="m/d/yyyy">
                  <c:v>0</c:v>
                </c:pt>
                <c:pt idx="138" c:formatCode="m/d/yyyy">
                  <c:v>0</c:v>
                </c:pt>
                <c:pt idx="139" c:formatCode="m/d/yyyy">
                  <c:v>0</c:v>
                </c:pt>
                <c:pt idx="140" c:formatCode="m/d/yyyy">
                  <c:v>0</c:v>
                </c:pt>
                <c:pt idx="141" c:formatCode="m/d/yyyy">
                  <c:v>0</c:v>
                </c:pt>
                <c:pt idx="142" c:formatCode="m/d/yyyy">
                  <c:v>0</c:v>
                </c:pt>
                <c:pt idx="143" c:formatCode="m/d/yyyy">
                  <c:v>0</c:v>
                </c:pt>
                <c:pt idx="144" c:formatCode="m/d/yyyy">
                  <c:v>0</c:v>
                </c:pt>
                <c:pt idx="145" c:formatCode="m/d/yyyy">
                  <c:v>0</c:v>
                </c:pt>
                <c:pt idx="146" c:formatCode="m/d/yyyy">
                  <c:v>0</c:v>
                </c:pt>
                <c:pt idx="147" c:formatCode="m/d/yyyy">
                  <c:v>0</c:v>
                </c:pt>
                <c:pt idx="148" c:formatCode="m/d/yyyy">
                  <c:v>0</c:v>
                </c:pt>
                <c:pt idx="149" c:formatCode="m/d/yyyy">
                  <c:v>0</c:v>
                </c:pt>
                <c:pt idx="150" c:formatCode="m/d/yyyy">
                  <c:v>0</c:v>
                </c:pt>
                <c:pt idx="151" c:formatCode="m/d/yyyy">
                  <c:v>0</c:v>
                </c:pt>
                <c:pt idx="152" c:formatCode="m/d/yyyy">
                  <c:v>0</c:v>
                </c:pt>
                <c:pt idx="153" c:formatCode="m/d/yyyy">
                  <c:v>0</c:v>
                </c:pt>
                <c:pt idx="154" c:formatCode="m/d/yyyy">
                  <c:v>0</c:v>
                </c:pt>
                <c:pt idx="155" c:formatCode="m/d/yyyy">
                  <c:v>0</c:v>
                </c:pt>
                <c:pt idx="156" c:formatCode="m/d/yyyy">
                  <c:v>0</c:v>
                </c:pt>
                <c:pt idx="157" c:formatCode="m/d/yyyy">
                  <c:v>0</c:v>
                </c:pt>
                <c:pt idx="158" c:formatCode="m/d/yyyy">
                  <c:v>0</c:v>
                </c:pt>
                <c:pt idx="159" c:formatCode="m/d/yyyy">
                  <c:v>0</c:v>
                </c:pt>
                <c:pt idx="160" c:formatCode="m/d/yyyy">
                  <c:v>0</c:v>
                </c:pt>
                <c:pt idx="161" c:formatCode="m/d/yyyy">
                  <c:v>0</c:v>
                </c:pt>
                <c:pt idx="162" c:formatCode="m/d/yyyy">
                  <c:v>0</c:v>
                </c:pt>
                <c:pt idx="163" c:formatCode="m/d/yyyy">
                  <c:v>0</c:v>
                </c:pt>
                <c:pt idx="164" c:formatCode="m/d/yyyy">
                  <c:v>0</c:v>
                </c:pt>
                <c:pt idx="165" c:formatCode="m/d/yyyy">
                  <c:v>0</c:v>
                </c:pt>
                <c:pt idx="166" c:formatCode="m/d/yyyy">
                  <c:v>0</c:v>
                </c:pt>
                <c:pt idx="167" c:formatCode="m/d/yyyy">
                  <c:v>0</c:v>
                </c:pt>
                <c:pt idx="168" c:formatCode="m/d/yyyy">
                  <c:v>0</c:v>
                </c:pt>
                <c:pt idx="169" c:formatCode="m/d/yyyy">
                  <c:v>0</c:v>
                </c:pt>
                <c:pt idx="170" c:formatCode="m/d/yyyy">
                  <c:v>0</c:v>
                </c:pt>
                <c:pt idx="171" c:formatCode="m/d/yyyy">
                  <c:v>0</c:v>
                </c:pt>
                <c:pt idx="172" c:formatCode="m/d/yyyy">
                  <c:v>0</c:v>
                </c:pt>
                <c:pt idx="173" c:formatCode="m/d/yyyy">
                  <c:v>0</c:v>
                </c:pt>
                <c:pt idx="174" c:formatCode="m/d/yyyy">
                  <c:v>0</c:v>
                </c:pt>
                <c:pt idx="175" c:formatCode="m/d/yyyy">
                  <c:v>0</c:v>
                </c:pt>
                <c:pt idx="176" c:formatCode="m/d/yyyy">
                  <c:v>0</c:v>
                </c:pt>
                <c:pt idx="177" c:formatCode="m/d/yyyy">
                  <c:v>0</c:v>
                </c:pt>
                <c:pt idx="178" c:formatCode="m/d/yyyy">
                  <c:v>0</c:v>
                </c:pt>
                <c:pt idx="179" c:formatCode="m/d/yyyy">
                  <c:v>0</c:v>
                </c:pt>
                <c:pt idx="180" c:formatCode="m/d/yyyy">
                  <c:v>0</c:v>
                </c:pt>
                <c:pt idx="181" c:formatCode="m/d/yyyy">
                  <c:v>0</c:v>
                </c:pt>
                <c:pt idx="182" c:formatCode="m/d/yyyy">
                  <c:v>0</c:v>
                </c:pt>
                <c:pt idx="183" c:formatCode="m/d/yyyy">
                  <c:v>0</c:v>
                </c:pt>
                <c:pt idx="184" c:formatCode="m/d/yyyy">
                  <c:v>0</c:v>
                </c:pt>
                <c:pt idx="185" c:formatCode="m/d/yyyy">
                  <c:v>0</c:v>
                </c:pt>
                <c:pt idx="186" c:formatCode="m/d/yyyy">
                  <c:v>0</c:v>
                </c:pt>
                <c:pt idx="187" c:formatCode="m/d/yyyy">
                  <c:v>0</c:v>
                </c:pt>
                <c:pt idx="188" c:formatCode="m/d/yyyy">
                  <c:v>0</c:v>
                </c:pt>
                <c:pt idx="189" c:formatCode="m/d/yyyy">
                  <c:v>0</c:v>
                </c:pt>
                <c:pt idx="190" c:formatCode="m/d/yyyy">
                  <c:v>0</c:v>
                </c:pt>
                <c:pt idx="191" c:formatCode="m/d/yyyy">
                  <c:v>0</c:v>
                </c:pt>
                <c:pt idx="192" c:formatCode="m/d/yyyy">
                  <c:v>0</c:v>
                </c:pt>
                <c:pt idx="193" c:formatCode="m/d/yyyy">
                  <c:v>0</c:v>
                </c:pt>
                <c:pt idx="194" c:formatCode="m/d/yyyy">
                  <c:v>0</c:v>
                </c:pt>
                <c:pt idx="195" c:formatCode="m/d/yyyy">
                  <c:v>0</c:v>
                </c:pt>
                <c:pt idx="196" c:formatCode="m/d/yyyy">
                  <c:v>0</c:v>
                </c:pt>
                <c:pt idx="197" c:formatCode="m/d/yyyy">
                  <c:v>0</c:v>
                </c:pt>
                <c:pt idx="198" c:formatCode="m/d/yyyy">
                  <c:v>0</c:v>
                </c:pt>
                <c:pt idx="199" c:formatCode="m/d/yyyy">
                  <c:v>0</c:v>
                </c:pt>
                <c:pt idx="200" c:formatCode="m/d/yyyy">
                  <c:v>0</c:v>
                </c:pt>
                <c:pt idx="201" c:formatCode="m/d/yyyy">
                  <c:v>0</c:v>
                </c:pt>
                <c:pt idx="202" c:formatCode="m/d/yyyy">
                  <c:v>0</c:v>
                </c:pt>
                <c:pt idx="203" c:formatCode="m/d/yyyy">
                  <c:v>0</c:v>
                </c:pt>
                <c:pt idx="204" c:formatCode="m/d/yyyy">
                  <c:v>0</c:v>
                </c:pt>
                <c:pt idx="205" c:formatCode="m/d/yyyy">
                  <c:v>0</c:v>
                </c:pt>
                <c:pt idx="206" c:formatCode="m/d/yyyy">
                  <c:v>0</c:v>
                </c:pt>
                <c:pt idx="207" c:formatCode="m/d/yyyy">
                  <c:v>0</c:v>
                </c:pt>
                <c:pt idx="208" c:formatCode="m/d/yyyy">
                  <c:v>0</c:v>
                </c:pt>
                <c:pt idx="209" c:formatCode="m/d/yyyy">
                  <c:v>0</c:v>
                </c:pt>
                <c:pt idx="210" c:formatCode="m/d/yyyy">
                  <c:v>0</c:v>
                </c:pt>
                <c:pt idx="211" c:formatCode="m/d/yyyy">
                  <c:v>0</c:v>
                </c:pt>
              </c:numCache>
            </c:numRef>
          </c:cat>
          <c:val>
            <c:numRef>
              <c:f>'1D AZIR və 1W AZIR   COUNT'!$D$3:$D$214</c:f>
              <c:numCache>
                <c:formatCode>0</c:formatCode>
                <c:ptCount val="212"/>
                <c:pt idx="1">
                  <c:v>2</c:v>
                </c:pt>
                <c:pt idx="3">
                  <c:v>1</c:v>
                </c:pt>
                <c:pt idx="4">
                  <c:v>1</c:v>
                </c:pt>
                <c:pt idx="6">
                  <c:v>3</c:v>
                </c:pt>
                <c:pt idx="8">
                  <c:v>1</c:v>
                </c:pt>
                <c:pt idx="11">
                  <c:v>3</c:v>
                </c:pt>
                <c:pt idx="16">
                  <c:v>1</c:v>
                </c:pt>
                <c:pt idx="20">
                  <c:v>1</c:v>
                </c:pt>
                <c:pt idx="25">
                  <c:v>1</c:v>
                </c:pt>
                <c:pt idx="30">
                  <c:v>1</c:v>
                </c:pt>
                <c:pt idx="38">
                  <c:v>6</c:v>
                </c:pt>
                <c:pt idx="39">
                  <c:v>1</c:v>
                </c:pt>
                <c:pt idx="44">
                  <c:v>1</c:v>
                </c:pt>
                <c:pt idx="49">
                  <c:v>1</c:v>
                </c:pt>
                <c:pt idx="54">
                  <c:v>1</c:v>
                </c:pt>
                <c:pt idx="167">
                  <c:v>8</c:v>
                </c:pt>
                <c:pt idx="169">
                  <c:v>1</c:v>
                </c:pt>
                <c:pt idx="174">
                  <c:v>1</c:v>
                </c:pt>
                <c:pt idx="179">
                  <c:v>1</c:v>
                </c:pt>
                <c:pt idx="2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5469568"/>
        <c:axId val="295472064"/>
      </c:barChart>
      <c:dateAx>
        <c:axId val="2954695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295472064"/>
        <c:crosses val="autoZero"/>
        <c:auto val="1"/>
        <c:lblOffset val="100"/>
        <c:baseTimeUnit val="days"/>
        <c:majorUnit val="10"/>
        <c:majorTimeUnit val="days"/>
        <c:minorUnit val="1"/>
        <c:minorTimeUnit val="days"/>
      </c:dateAx>
      <c:valAx>
        <c:axId val="295472064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</a:p>
        </c:txPr>
        <c:crossAx val="29546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0182769729615"/>
          <c:y val="0.870715282211345"/>
          <c:w val="0.673944560963764"/>
          <c:h val="0.1112666997706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Arial" panose="020B0604020202020204" pitchFamily="7" charset="0"/>
              <a:ea typeface="+mn-ea"/>
              <a:cs typeface="Arial" panose="020B0604020202020204" pitchFamily="7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a4d09d-4e20-4e3e-8d9a-b1ddd4aa998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209548</xdr:colOff>
      <xdr:row>0</xdr:row>
      <xdr:rowOff>38099</xdr:rowOff>
    </xdr:from>
    <xdr:to>
      <xdr:col>6</xdr:col>
      <xdr:colOff>1524000</xdr:colOff>
      <xdr:row>16</xdr:row>
      <xdr:rowOff>224118</xdr:rowOff>
    </xdr:to>
    <xdr:graphicFrame>
      <xdr:nvGraphicFramePr>
        <xdr:cNvPr id="2" name="Chart 1"/>
        <xdr:cNvGraphicFramePr/>
      </xdr:nvGraphicFramePr>
      <xdr:xfrm>
        <a:off x="208915" y="37465"/>
        <a:ext cx="7604760" cy="4798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590549</xdr:colOff>
      <xdr:row>189</xdr:row>
      <xdr:rowOff>19050</xdr:rowOff>
    </xdr:from>
    <xdr:to>
      <xdr:col>20</xdr:col>
      <xdr:colOff>552450</xdr:colOff>
      <xdr:row>208</xdr:row>
      <xdr:rowOff>180975</xdr:rowOff>
    </xdr:to>
    <xdr:graphicFrame>
      <xdr:nvGraphicFramePr>
        <xdr:cNvPr id="5" name="Chart 4"/>
        <xdr:cNvGraphicFramePr/>
      </xdr:nvGraphicFramePr>
      <xdr:xfrm>
        <a:off x="9584055" y="40123110"/>
        <a:ext cx="6751955" cy="4107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609599</xdr:colOff>
      <xdr:row>203</xdr:row>
      <xdr:rowOff>171450</xdr:rowOff>
    </xdr:from>
    <xdr:to>
      <xdr:col>16</xdr:col>
      <xdr:colOff>9524</xdr:colOff>
      <xdr:row>228</xdr:row>
      <xdr:rowOff>133350</xdr:rowOff>
    </xdr:to>
    <xdr:graphicFrame>
      <xdr:nvGraphicFramePr>
        <xdr:cNvPr id="2" name="Chart 1"/>
        <xdr:cNvGraphicFramePr/>
      </xdr:nvGraphicFramePr>
      <xdr:xfrm>
        <a:off x="4018280" y="42340530"/>
        <a:ext cx="6806565" cy="4806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609599</xdr:colOff>
      <xdr:row>210</xdr:row>
      <xdr:rowOff>19050</xdr:rowOff>
    </xdr:from>
    <xdr:to>
      <xdr:col>16</xdr:col>
      <xdr:colOff>28574</xdr:colOff>
      <xdr:row>234</xdr:row>
      <xdr:rowOff>171450</xdr:rowOff>
    </xdr:to>
    <xdr:graphicFrame>
      <xdr:nvGraphicFramePr>
        <xdr:cNvPr id="2" name="Chart 1"/>
        <xdr:cNvGraphicFramePr/>
      </xdr:nvGraphicFramePr>
      <xdr:xfrm>
        <a:off x="3930015" y="43693080"/>
        <a:ext cx="6825615" cy="464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600075</xdr:colOff>
      <xdr:row>203</xdr:row>
      <xdr:rowOff>142875</xdr:rowOff>
    </xdr:from>
    <xdr:to>
      <xdr:col>16</xdr:col>
      <xdr:colOff>1</xdr:colOff>
      <xdr:row>227</xdr:row>
      <xdr:rowOff>161925</xdr:rowOff>
    </xdr:to>
    <xdr:graphicFrame>
      <xdr:nvGraphicFramePr>
        <xdr:cNvPr id="2" name="Chart 1"/>
        <xdr:cNvGraphicFramePr/>
      </xdr:nvGraphicFramePr>
      <xdr:xfrm>
        <a:off x="3921125" y="42363390"/>
        <a:ext cx="6806565" cy="4680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3" displayName="Table3" ref="B24:E603" headerRowCount="0" totalsRowShown="0">
  <tableColumns count="4">
    <tableColumn id="1" name="Column1" dataDxfId="0"/>
    <tableColumn id="2" name="Column2" dataDxfId="1"/>
    <tableColumn id="3" name="Column3" dataDxfId="2"/>
    <tableColumn id="4" name="Column4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606"/>
  <sheetViews>
    <sheetView showGridLines="0" zoomScale="70" zoomScaleNormal="70" workbookViewId="0">
      <pane ySplit="190" topLeftCell="A191" activePane="bottomLeft" state="frozen"/>
      <selection/>
      <selection pane="bottomLeft" activeCell="H13" sqref="H13"/>
    </sheetView>
  </sheetViews>
  <sheetFormatPr defaultColWidth="9.13888888888889" defaultRowHeight="14.4"/>
  <cols>
    <col min="1" max="1" width="9.42592592592593" customWidth="1"/>
    <col min="2" max="5" width="18.287037037037" customWidth="1"/>
    <col min="7" max="7" width="33.5740740740741" customWidth="1"/>
    <col min="8" max="8" width="55.8518518518519" customWidth="1"/>
    <col min="9" max="9" width="15.4259259259259" customWidth="1"/>
    <col min="10" max="10" width="6" customWidth="1"/>
    <col min="11" max="11" width="10.287037037037" customWidth="1"/>
    <col min="12" max="12" width="55.8518518518519" customWidth="1"/>
    <col min="13" max="13" width="15.4259259259259" customWidth="1"/>
  </cols>
  <sheetData>
    <row r="2" ht="23.25" customHeight="1" spans="8:11">
      <c r="H2" s="51" t="s">
        <v>0</v>
      </c>
      <c r="I2" s="51"/>
      <c r="J2" s="69"/>
      <c r="K2" s="69"/>
    </row>
    <row r="3" ht="23.25" customHeight="1" spans="8:11">
      <c r="H3" s="52" t="s">
        <v>1</v>
      </c>
      <c r="I3" s="70">
        <f>MAX(B24:B10365)</f>
        <v>45923</v>
      </c>
      <c r="J3" s="70"/>
      <c r="K3" s="71"/>
    </row>
    <row r="4" ht="23.25" customHeight="1" spans="8:11">
      <c r="H4" s="52" t="s">
        <v>2</v>
      </c>
      <c r="I4" s="72">
        <f>INDEX(C24:C10365,MATCH(I3,B24:B10365))</f>
        <v>0.06943</v>
      </c>
      <c r="J4" s="73"/>
      <c r="K4" s="71"/>
    </row>
    <row r="5" ht="23.25" customHeight="1" spans="8:11">
      <c r="H5" s="52" t="s">
        <v>3</v>
      </c>
      <c r="I5" s="72">
        <f>I4-INDEX(C24:C10365,MATCH(_xlfn.MAXIFS(B24:B10365,B24:B10365,"&lt;="&amp;EOMONTH(I3,-1),B24:B10365,"&gt;="&amp;EOMONTH(I3,-2)),B24:B10365))</f>
        <v>-0.000465999999999994</v>
      </c>
      <c r="J5" s="73"/>
      <c r="K5" s="71"/>
    </row>
    <row r="6" ht="23.25" customHeight="1" spans="8:11">
      <c r="H6" s="52" t="s">
        <v>4</v>
      </c>
      <c r="I6" s="72">
        <f>IFERROR(I4-INDEX(C24:C10365,MATCH(_xlfn.MAXIFS(B24:B10365,B24:B10365,"&lt;="&amp;DATE(YEAR(I3)-1,12,31),B24:B10365,"&gt;="&amp;DATE(YEAR(I3)-1,1,1)),B24:B10365)),"-")</f>
        <v>0.00393</v>
      </c>
      <c r="J6" s="73"/>
      <c r="K6" s="71"/>
    </row>
    <row r="7" ht="23.25" customHeight="1" spans="8:11">
      <c r="H7" s="52" t="s">
        <v>5</v>
      </c>
      <c r="I7" s="72">
        <f>_xlfn.MINIFS(C24:C10365,B24:B10365,"&lt;="&amp;I3,B24:B10365,"&gt;"&amp;DATE(YEAR(I3)-1,MONTH(I3),DAY(I3)))</f>
        <v>0.0633</v>
      </c>
      <c r="J7" s="73"/>
      <c r="K7" s="71"/>
    </row>
    <row r="8" ht="23.25" customHeight="1" spans="8:11">
      <c r="H8" s="52" t="s">
        <v>6</v>
      </c>
      <c r="I8" s="72">
        <f>_xlfn.MAXIFS(C24:C10365,B24:B10365,"&lt;="&amp;I3,B24:B10365,"&gt;"&amp;DATE(YEAR(I3)-1,MONTH(I3),DAY(I3)))</f>
        <v>0.0791</v>
      </c>
      <c r="J8" s="73"/>
      <c r="K8" s="74"/>
    </row>
    <row r="9" ht="23.25" customHeight="1" spans="8:11">
      <c r="H9" s="52" t="s">
        <v>7</v>
      </c>
      <c r="I9" s="75">
        <f>INDEX(D24:D10365,MATCH(I3,B24:B10365))</f>
        <v>252</v>
      </c>
      <c r="J9" s="73"/>
      <c r="K9" s="74"/>
    </row>
    <row r="10" ht="23.25" customHeight="1" spans="8:11">
      <c r="H10" s="52" t="s">
        <v>8</v>
      </c>
      <c r="I10" s="75">
        <f>I9-INDEX(D24:D10365,MATCH(_xlfn.MAXIFS(B24:B10365,B24:B10365,"&lt;="&amp;EOMONTH(I3,-1),B24:B10365,"&gt;="&amp;EOMONTH(I3,-2)),B24:B10365))</f>
        <v>82</v>
      </c>
      <c r="J10" s="73"/>
      <c r="K10" s="71"/>
    </row>
    <row r="11" ht="23.25" customHeight="1" spans="8:9">
      <c r="H11" s="52" t="s">
        <v>9</v>
      </c>
      <c r="I11" s="75">
        <f>_xlfn.MINIFS(D24:D10365,B24:B10365,"&lt;="&amp;I3,B24:B10365,"&gt;"&amp;DATE(YEAR(I3)-1,MONTH(I3),DAY(I3)))</f>
        <v>43.4</v>
      </c>
    </row>
    <row r="12" ht="23.25" customHeight="1" spans="8:12">
      <c r="H12" s="52" t="s">
        <v>10</v>
      </c>
      <c r="I12" s="75">
        <f>_xlfn.MAXIFS(D24:D10365,B24:B10365,"&lt;="&amp;I3,B24:B10365,"&gt;"&amp;DATE(YEAR(I3)-1,MONTH(I3),DAY(I3)))</f>
        <v>988.9</v>
      </c>
      <c r="L12" s="76"/>
    </row>
    <row r="13" ht="23.25" customHeight="1" spans="8:9">
      <c r="H13" s="52" t="s">
        <v>11</v>
      </c>
      <c r="I13" s="75">
        <f>I9/1.7</f>
        <v>148.235294117647</v>
      </c>
    </row>
    <row r="14" ht="23.25" customHeight="1"/>
    <row r="15" ht="23.25" customHeight="1" spans="8:9">
      <c r="H15" s="52"/>
      <c r="I15" s="73"/>
    </row>
    <row r="16" ht="23.25" customHeight="1"/>
    <row r="17" ht="23.25" customHeight="1" spans="10:10">
      <c r="J17" s="70"/>
    </row>
    <row r="18" ht="20.25" customHeight="1" spans="2:5">
      <c r="B18" s="53" t="s">
        <v>12</v>
      </c>
      <c r="C18" s="53"/>
      <c r="D18" s="53"/>
      <c r="E18" s="53"/>
    </row>
    <row r="19" ht="20.25" customHeight="1" spans="2:5">
      <c r="B19" s="53"/>
      <c r="C19" s="53"/>
      <c r="D19" s="53"/>
      <c r="E19" s="53"/>
    </row>
    <row r="20" ht="12.75" customHeight="1" spans="2:5">
      <c r="B20" s="54"/>
      <c r="C20" s="54"/>
      <c r="D20" s="54"/>
      <c r="E20" s="54"/>
    </row>
    <row r="21" ht="21" spans="2:5">
      <c r="B21" s="55" t="s">
        <v>0</v>
      </c>
      <c r="C21" s="55"/>
      <c r="D21" s="55"/>
      <c r="E21" s="55"/>
    </row>
    <row r="22" ht="3" customHeight="1" spans="8:9">
      <c r="H22" s="56"/>
      <c r="I22" s="77"/>
    </row>
    <row r="23" ht="47.25" customHeight="1" spans="2:5">
      <c r="B23" s="57" t="s">
        <v>13</v>
      </c>
      <c r="C23" s="58" t="s">
        <v>14</v>
      </c>
      <c r="D23" s="57" t="s">
        <v>15</v>
      </c>
      <c r="E23" s="57" t="s">
        <v>16</v>
      </c>
    </row>
    <row r="24" ht="17.4" hidden="1" spans="2:8">
      <c r="B24" s="59">
        <v>45047</v>
      </c>
      <c r="C24" s="60">
        <v>0.0496928251121076</v>
      </c>
      <c r="D24" s="61">
        <v>111.5</v>
      </c>
      <c r="E24" s="62">
        <v>11</v>
      </c>
      <c r="G24" s="63"/>
      <c r="H24" s="52"/>
    </row>
    <row r="25" ht="15.6" hidden="1" spans="2:5">
      <c r="B25" s="64">
        <v>45048</v>
      </c>
      <c r="C25" s="65">
        <v>0.0494</v>
      </c>
      <c r="D25" s="66">
        <v>161</v>
      </c>
      <c r="E25" s="67">
        <v>16</v>
      </c>
    </row>
    <row r="26" ht="15.6" hidden="1" spans="2:5">
      <c r="B26" s="64">
        <v>45049</v>
      </c>
      <c r="C26" s="65">
        <v>0.0493</v>
      </c>
      <c r="D26" s="66">
        <v>162</v>
      </c>
      <c r="E26" s="67">
        <v>14</v>
      </c>
    </row>
    <row r="27" ht="15.6" hidden="1" spans="2:5">
      <c r="B27" s="64">
        <v>45050</v>
      </c>
      <c r="C27" s="65">
        <v>0.0535</v>
      </c>
      <c r="D27" s="66">
        <v>147</v>
      </c>
      <c r="E27" s="67">
        <v>14</v>
      </c>
    </row>
    <row r="28" ht="15.6" hidden="1" spans="2:5">
      <c r="B28" s="64">
        <v>45051</v>
      </c>
      <c r="C28" s="65">
        <v>0.0538</v>
      </c>
      <c r="D28" s="66">
        <v>142.5</v>
      </c>
      <c r="E28" s="67">
        <v>14</v>
      </c>
    </row>
    <row r="29" ht="15.6" hidden="1" spans="2:5">
      <c r="B29" s="64">
        <v>45054</v>
      </c>
      <c r="C29" s="65">
        <v>0.0535</v>
      </c>
      <c r="D29" s="66">
        <v>155</v>
      </c>
      <c r="E29" s="67">
        <v>15</v>
      </c>
    </row>
    <row r="30" ht="15.6" hidden="1" spans="2:5">
      <c r="B30" s="64">
        <v>45056</v>
      </c>
      <c r="C30" s="65">
        <v>0.0535</v>
      </c>
      <c r="D30" s="66">
        <v>149.5</v>
      </c>
      <c r="E30" s="67">
        <v>14</v>
      </c>
    </row>
    <row r="31" ht="15.6" hidden="1" spans="2:5">
      <c r="B31" s="64">
        <v>45057</v>
      </c>
      <c r="C31" s="65">
        <v>0.0537</v>
      </c>
      <c r="D31" s="66">
        <v>179</v>
      </c>
      <c r="E31" s="67">
        <v>17</v>
      </c>
    </row>
    <row r="32" ht="15.6" hidden="1" spans="2:5">
      <c r="B32" s="64">
        <v>45058</v>
      </c>
      <c r="C32" s="65">
        <v>0.0534</v>
      </c>
      <c r="D32" s="66">
        <v>168</v>
      </c>
      <c r="E32" s="67">
        <v>14</v>
      </c>
    </row>
    <row r="33" ht="15.6" hidden="1" spans="2:5">
      <c r="B33" s="64">
        <v>45061</v>
      </c>
      <c r="C33" s="65">
        <v>0.0538</v>
      </c>
      <c r="D33" s="66">
        <v>157</v>
      </c>
      <c r="E33" s="67">
        <v>13</v>
      </c>
    </row>
    <row r="34" ht="15.6" hidden="1" spans="2:5">
      <c r="B34" s="64">
        <v>45062</v>
      </c>
      <c r="C34" s="65">
        <v>0.0539</v>
      </c>
      <c r="D34" s="66">
        <v>174</v>
      </c>
      <c r="E34" s="67">
        <v>14</v>
      </c>
    </row>
    <row r="35" ht="15.6" hidden="1" spans="2:5">
      <c r="B35" s="64">
        <v>45063</v>
      </c>
      <c r="C35" s="65">
        <v>0.054</v>
      </c>
      <c r="D35" s="66">
        <v>161</v>
      </c>
      <c r="E35" s="67">
        <v>15</v>
      </c>
    </row>
    <row r="36" ht="15.6" hidden="1" spans="2:5">
      <c r="B36" s="64">
        <v>45064</v>
      </c>
      <c r="C36" s="65">
        <v>0.054</v>
      </c>
      <c r="D36" s="66">
        <v>184</v>
      </c>
      <c r="E36" s="67">
        <v>16</v>
      </c>
    </row>
    <row r="37" ht="15.6" hidden="1" spans="2:5">
      <c r="B37" s="64">
        <v>45065</v>
      </c>
      <c r="C37" s="65">
        <v>0.0536</v>
      </c>
      <c r="D37" s="66">
        <v>160</v>
      </c>
      <c r="E37" s="67">
        <v>16</v>
      </c>
    </row>
    <row r="38" ht="15.6" hidden="1" spans="2:5">
      <c r="B38" s="64">
        <v>45068</v>
      </c>
      <c r="C38" s="65">
        <v>0.0532</v>
      </c>
      <c r="D38" s="66">
        <v>126</v>
      </c>
      <c r="E38" s="67">
        <v>12</v>
      </c>
    </row>
    <row r="39" ht="15.6" hidden="1" spans="2:5">
      <c r="B39" s="64">
        <v>45069</v>
      </c>
      <c r="C39" s="65">
        <v>0.0538</v>
      </c>
      <c r="D39" s="66">
        <v>179.8</v>
      </c>
      <c r="E39" s="67">
        <v>14</v>
      </c>
    </row>
    <row r="40" ht="15.6" hidden="1" spans="2:5">
      <c r="B40" s="64">
        <v>45070</v>
      </c>
      <c r="C40" s="65">
        <v>0.055</v>
      </c>
      <c r="D40" s="66">
        <v>235.3</v>
      </c>
      <c r="E40" s="67">
        <v>19</v>
      </c>
    </row>
    <row r="41" ht="15.6" hidden="1" spans="2:5">
      <c r="B41" s="64">
        <v>45071</v>
      </c>
      <c r="C41" s="65">
        <v>0.0546</v>
      </c>
      <c r="D41" s="66">
        <v>267.3</v>
      </c>
      <c r="E41" s="67">
        <v>22</v>
      </c>
    </row>
    <row r="42" ht="15.6" hidden="1" spans="2:5">
      <c r="B42" s="64">
        <v>45072</v>
      </c>
      <c r="C42" s="65">
        <v>0.0546</v>
      </c>
      <c r="D42" s="66"/>
      <c r="E42" s="67"/>
    </row>
    <row r="43" ht="17.4" hidden="1" spans="2:17">
      <c r="B43" s="64">
        <v>45076</v>
      </c>
      <c r="C43" s="65">
        <v>0.0544</v>
      </c>
      <c r="D43" s="66">
        <v>263.8</v>
      </c>
      <c r="E43" s="67">
        <v>21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</row>
    <row r="44" ht="17.4" hidden="1" spans="2:17">
      <c r="B44" s="64">
        <v>45077</v>
      </c>
      <c r="C44" s="65">
        <v>0.0546</v>
      </c>
      <c r="D44" s="66">
        <v>215</v>
      </c>
      <c r="E44" s="67">
        <v>18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</row>
    <row r="45" ht="17.4" hidden="1" spans="2:17">
      <c r="B45" s="64">
        <v>45078</v>
      </c>
      <c r="C45" s="65">
        <v>0.054</v>
      </c>
      <c r="D45" s="66">
        <v>188</v>
      </c>
      <c r="E45" s="67">
        <v>16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</row>
    <row r="46" ht="17.4" hidden="1" spans="2:17">
      <c r="B46" s="64">
        <v>45079</v>
      </c>
      <c r="C46" s="65">
        <v>0.0545</v>
      </c>
      <c r="D46" s="66">
        <v>181.5</v>
      </c>
      <c r="E46" s="67">
        <v>16</v>
      </c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</row>
    <row r="47" ht="17.4" hidden="1" spans="2:17">
      <c r="B47" s="64">
        <v>45082</v>
      </c>
      <c r="C47" s="65">
        <v>0.0548</v>
      </c>
      <c r="D47" s="66">
        <v>202.5</v>
      </c>
      <c r="E47" s="67">
        <v>18</v>
      </c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</row>
    <row r="48" ht="15.6" hidden="1" spans="2:5">
      <c r="B48" s="64">
        <v>45083</v>
      </c>
      <c r="C48" s="65">
        <v>0.0553</v>
      </c>
      <c r="D48" s="66">
        <v>198.5</v>
      </c>
      <c r="E48" s="67">
        <v>18</v>
      </c>
    </row>
    <row r="49" ht="15.6" hidden="1" spans="2:5">
      <c r="B49" s="64">
        <v>45084</v>
      </c>
      <c r="C49" s="65">
        <v>0.0545</v>
      </c>
      <c r="D49" s="66">
        <v>201.5</v>
      </c>
      <c r="E49" s="67">
        <v>16</v>
      </c>
    </row>
    <row r="50" ht="15.6" hidden="1" spans="2:5">
      <c r="B50" s="64">
        <v>45085</v>
      </c>
      <c r="C50" s="65">
        <v>0.0558</v>
      </c>
      <c r="D50" s="66">
        <v>162</v>
      </c>
      <c r="E50" s="67">
        <v>15</v>
      </c>
    </row>
    <row r="51" ht="15.6" hidden="1" spans="2:5">
      <c r="B51" s="64">
        <v>45086</v>
      </c>
      <c r="C51" s="65">
        <v>0.0556</v>
      </c>
      <c r="D51" s="66">
        <v>157.5</v>
      </c>
      <c r="E51" s="67">
        <v>14</v>
      </c>
    </row>
    <row r="52" ht="15.6" hidden="1" spans="2:5">
      <c r="B52" s="64">
        <v>45089</v>
      </c>
      <c r="C52" s="65">
        <v>0.0557</v>
      </c>
      <c r="D52" s="66">
        <v>158.5</v>
      </c>
      <c r="E52" s="67">
        <v>15</v>
      </c>
    </row>
    <row r="53" ht="15.6" hidden="1" spans="2:5">
      <c r="B53" s="64">
        <v>45090</v>
      </c>
      <c r="C53" s="65">
        <v>0.0565</v>
      </c>
      <c r="D53" s="66">
        <v>140</v>
      </c>
      <c r="E53" s="67">
        <v>12</v>
      </c>
    </row>
    <row r="54" ht="15.6" hidden="1" spans="2:5">
      <c r="B54" s="64">
        <v>45091</v>
      </c>
      <c r="C54" s="65">
        <v>0.0558</v>
      </c>
      <c r="D54" s="66">
        <v>164</v>
      </c>
      <c r="E54" s="67">
        <v>14</v>
      </c>
    </row>
    <row r="55" ht="15.6" hidden="1" spans="2:5">
      <c r="B55" s="64">
        <v>45093</v>
      </c>
      <c r="C55" s="65">
        <v>0.0558</v>
      </c>
      <c r="D55" s="66">
        <v>180</v>
      </c>
      <c r="E55" s="67">
        <v>16</v>
      </c>
    </row>
    <row r="56" ht="15.6" hidden="1" spans="2:5">
      <c r="B56" s="64">
        <v>45096</v>
      </c>
      <c r="C56" s="65">
        <v>0.0564</v>
      </c>
      <c r="D56" s="66">
        <v>135</v>
      </c>
      <c r="E56" s="67">
        <v>11</v>
      </c>
    </row>
    <row r="57" ht="15.6" hidden="1" spans="2:5">
      <c r="B57" s="64">
        <v>45097</v>
      </c>
      <c r="C57" s="65">
        <v>0.0564</v>
      </c>
      <c r="D57" s="66">
        <v>159.5</v>
      </c>
      <c r="E57" s="67">
        <v>12</v>
      </c>
    </row>
    <row r="58" ht="15.6" hidden="1" spans="2:5">
      <c r="B58" s="64">
        <v>45098</v>
      </c>
      <c r="C58" s="65">
        <v>0.0565</v>
      </c>
      <c r="D58" s="66">
        <v>169.5</v>
      </c>
      <c r="E58" s="67">
        <v>13</v>
      </c>
    </row>
    <row r="59" ht="15.6" hidden="1" spans="2:5">
      <c r="B59" s="64">
        <v>45099</v>
      </c>
      <c r="C59" s="65">
        <v>0.0563</v>
      </c>
      <c r="D59" s="66">
        <v>183</v>
      </c>
      <c r="E59" s="67">
        <v>16</v>
      </c>
    </row>
    <row r="60" ht="15.6" hidden="1" spans="2:5">
      <c r="B60" s="64">
        <v>45100</v>
      </c>
      <c r="C60" s="65">
        <v>0.0564</v>
      </c>
      <c r="D60" s="66">
        <v>173</v>
      </c>
      <c r="E60" s="67">
        <v>14</v>
      </c>
    </row>
    <row r="61" ht="15.6" hidden="1" spans="2:5">
      <c r="B61" s="64">
        <v>45101</v>
      </c>
      <c r="C61" s="65">
        <v>0.0563</v>
      </c>
      <c r="D61" s="66">
        <v>176.5</v>
      </c>
      <c r="E61" s="67">
        <v>14</v>
      </c>
    </row>
    <row r="62" ht="15.6" hidden="1" spans="2:5">
      <c r="B62" s="64">
        <v>45102</v>
      </c>
      <c r="C62" s="65">
        <v>0.0563</v>
      </c>
      <c r="D62" s="66"/>
      <c r="E62" s="67"/>
    </row>
    <row r="63" ht="15.6" hidden="1" spans="2:5">
      <c r="B63" s="64">
        <v>45110</v>
      </c>
      <c r="C63" s="65">
        <v>0.0567</v>
      </c>
      <c r="D63" s="66">
        <v>135</v>
      </c>
      <c r="E63" s="67">
        <v>11</v>
      </c>
    </row>
    <row r="64" ht="15.6" hidden="1" spans="2:5">
      <c r="B64" s="64">
        <v>45111</v>
      </c>
      <c r="C64" s="65">
        <v>0.0564</v>
      </c>
      <c r="D64" s="66">
        <v>140</v>
      </c>
      <c r="E64" s="67">
        <v>10</v>
      </c>
    </row>
    <row r="65" ht="15.6" hidden="1" spans="2:5">
      <c r="B65" s="64">
        <v>45112</v>
      </c>
      <c r="C65" s="65">
        <v>0.056</v>
      </c>
      <c r="D65" s="66">
        <v>169</v>
      </c>
      <c r="E65" s="67">
        <v>12</v>
      </c>
    </row>
    <row r="66" ht="15.6" hidden="1" spans="2:5">
      <c r="B66" s="64">
        <v>45113</v>
      </c>
      <c r="C66" s="65">
        <v>0.0567</v>
      </c>
      <c r="D66" s="66">
        <v>122.5</v>
      </c>
      <c r="E66" s="67">
        <v>10</v>
      </c>
    </row>
    <row r="67" ht="15.6" hidden="1" spans="2:5">
      <c r="B67" s="64">
        <v>45114</v>
      </c>
      <c r="C67" s="65">
        <v>0.0563</v>
      </c>
      <c r="D67" s="66">
        <v>156.5</v>
      </c>
      <c r="E67" s="67">
        <v>13</v>
      </c>
    </row>
    <row r="68" ht="15.6" hidden="1" spans="2:5">
      <c r="B68" s="64">
        <v>45117</v>
      </c>
      <c r="C68" s="65">
        <v>0.0558</v>
      </c>
      <c r="D68" s="66">
        <v>164</v>
      </c>
      <c r="E68" s="67">
        <v>13</v>
      </c>
    </row>
    <row r="69" ht="15.6" hidden="1" spans="2:5">
      <c r="B69" s="64">
        <v>45118</v>
      </c>
      <c r="C69" s="65">
        <v>0.0563</v>
      </c>
      <c r="D69" s="66">
        <v>136</v>
      </c>
      <c r="E69" s="67">
        <v>12</v>
      </c>
    </row>
    <row r="70" ht="15.6" hidden="1" spans="2:5">
      <c r="B70" s="64">
        <v>45119</v>
      </c>
      <c r="C70" s="65">
        <v>0.0567</v>
      </c>
      <c r="D70" s="66">
        <v>110</v>
      </c>
      <c r="E70" s="67">
        <v>10</v>
      </c>
    </row>
    <row r="71" ht="15.6" hidden="1" spans="2:5">
      <c r="B71" s="64">
        <v>45120</v>
      </c>
      <c r="C71" s="65">
        <v>0.0564</v>
      </c>
      <c r="D71" s="66">
        <v>131.5</v>
      </c>
      <c r="E71" s="67">
        <v>12</v>
      </c>
    </row>
    <row r="72" ht="15.6" hidden="1" spans="2:5">
      <c r="B72" s="64">
        <v>45121</v>
      </c>
      <c r="C72" s="65">
        <v>0.0568</v>
      </c>
      <c r="D72" s="66">
        <v>112.5</v>
      </c>
      <c r="E72" s="67">
        <v>10</v>
      </c>
    </row>
    <row r="73" ht="15.6" hidden="1" spans="2:5">
      <c r="B73" s="64">
        <v>45124</v>
      </c>
      <c r="C73" s="65">
        <v>0.0559</v>
      </c>
      <c r="D73" s="66">
        <v>121</v>
      </c>
      <c r="E73" s="67">
        <v>10</v>
      </c>
    </row>
    <row r="74" ht="15.6" hidden="1" spans="2:5">
      <c r="B74" s="64">
        <v>45125</v>
      </c>
      <c r="C74" s="65">
        <v>0.056</v>
      </c>
      <c r="D74" s="66">
        <v>122</v>
      </c>
      <c r="E74" s="67">
        <v>10</v>
      </c>
    </row>
    <row r="75" ht="15.6" hidden="1" spans="2:5">
      <c r="B75" s="64">
        <v>45126</v>
      </c>
      <c r="C75" s="65">
        <v>0.0569</v>
      </c>
      <c r="D75" s="66">
        <v>108</v>
      </c>
      <c r="E75" s="67">
        <v>9</v>
      </c>
    </row>
    <row r="76" ht="15.6" hidden="1" spans="2:5">
      <c r="B76" s="64">
        <v>45127</v>
      </c>
      <c r="C76" s="65">
        <v>0.0566</v>
      </c>
      <c r="D76" s="66">
        <v>127</v>
      </c>
      <c r="E76" s="67">
        <v>10</v>
      </c>
    </row>
    <row r="77" ht="15.6" hidden="1" spans="2:5">
      <c r="B77" s="64">
        <v>45128</v>
      </c>
      <c r="C77" s="65">
        <v>0.0571</v>
      </c>
      <c r="D77" s="66">
        <v>110</v>
      </c>
      <c r="E77" s="67">
        <v>8</v>
      </c>
    </row>
    <row r="78" ht="15.6" hidden="1" spans="2:5">
      <c r="B78" s="64">
        <v>45131</v>
      </c>
      <c r="C78" s="65">
        <v>0.0572</v>
      </c>
      <c r="D78" s="66">
        <v>107</v>
      </c>
      <c r="E78" s="67">
        <v>7</v>
      </c>
    </row>
    <row r="79" ht="15.6" hidden="1" spans="2:5">
      <c r="B79" s="64">
        <v>45132</v>
      </c>
      <c r="C79" s="65">
        <v>0.0568</v>
      </c>
      <c r="D79" s="66">
        <v>122</v>
      </c>
      <c r="E79" s="67">
        <v>8</v>
      </c>
    </row>
    <row r="80" ht="15.6" hidden="1" spans="2:5">
      <c r="B80" s="64">
        <v>45133</v>
      </c>
      <c r="C80" s="65">
        <v>0.0569</v>
      </c>
      <c r="D80" s="66">
        <v>112</v>
      </c>
      <c r="E80" s="67">
        <v>8</v>
      </c>
    </row>
    <row r="81" ht="15.6" hidden="1" spans="2:5">
      <c r="B81" s="64">
        <v>45134</v>
      </c>
      <c r="C81" s="65">
        <v>0.056</v>
      </c>
      <c r="D81" s="66">
        <v>133</v>
      </c>
      <c r="E81" s="67">
        <v>10</v>
      </c>
    </row>
    <row r="82" ht="15.6" hidden="1" spans="2:5">
      <c r="B82" s="64">
        <v>45135</v>
      </c>
      <c r="C82" s="65">
        <v>0.0553</v>
      </c>
      <c r="D82" s="66">
        <v>110.5</v>
      </c>
      <c r="E82" s="67">
        <v>9</v>
      </c>
    </row>
    <row r="83" ht="15.6" hidden="1" spans="2:5">
      <c r="B83" s="64">
        <v>45138</v>
      </c>
      <c r="C83" s="65">
        <v>0.0564</v>
      </c>
      <c r="D83" s="66">
        <v>145</v>
      </c>
      <c r="E83" s="67">
        <v>12</v>
      </c>
    </row>
    <row r="84" ht="15.6" hidden="1" spans="2:5">
      <c r="B84" s="64">
        <v>45139</v>
      </c>
      <c r="C84" s="65">
        <v>0.0563</v>
      </c>
      <c r="D84" s="66">
        <v>155</v>
      </c>
      <c r="E84" s="67">
        <v>12</v>
      </c>
    </row>
    <row r="85" ht="15.6" hidden="1" spans="2:5">
      <c r="B85" s="64">
        <v>45140</v>
      </c>
      <c r="C85" s="65">
        <v>0.0559</v>
      </c>
      <c r="D85" s="66">
        <v>165</v>
      </c>
      <c r="E85" s="67">
        <v>13</v>
      </c>
    </row>
    <row r="86" ht="15.6" hidden="1" spans="2:5">
      <c r="B86" s="64">
        <v>45141</v>
      </c>
      <c r="C86" s="65">
        <v>0.0564</v>
      </c>
      <c r="D86" s="66">
        <v>149</v>
      </c>
      <c r="E86" s="67">
        <v>11</v>
      </c>
    </row>
    <row r="87" ht="15.6" hidden="1" spans="2:5">
      <c r="B87" s="64">
        <v>45142</v>
      </c>
      <c r="C87" s="65">
        <v>0.0565</v>
      </c>
      <c r="D87" s="66">
        <v>139</v>
      </c>
      <c r="E87" s="67">
        <v>10</v>
      </c>
    </row>
    <row r="88" ht="15.6" hidden="1" spans="2:5">
      <c r="B88" s="64">
        <v>45145</v>
      </c>
      <c r="C88" s="65">
        <v>0.0567</v>
      </c>
      <c r="D88" s="66">
        <v>159</v>
      </c>
      <c r="E88" s="67">
        <v>12</v>
      </c>
    </row>
    <row r="89" ht="15.6" hidden="1" spans="2:5">
      <c r="B89" s="64">
        <v>45146</v>
      </c>
      <c r="C89" s="65">
        <v>0.0569</v>
      </c>
      <c r="D89" s="66">
        <v>134.5</v>
      </c>
      <c r="E89" s="67">
        <v>11</v>
      </c>
    </row>
    <row r="90" ht="15.6" hidden="1" spans="2:5">
      <c r="B90" s="64">
        <v>45147</v>
      </c>
      <c r="C90" s="65">
        <v>0.0576</v>
      </c>
      <c r="D90" s="66">
        <v>129.5</v>
      </c>
      <c r="E90" s="67">
        <v>11</v>
      </c>
    </row>
    <row r="91" ht="15.6" hidden="1" spans="2:5">
      <c r="B91" s="64">
        <v>45148</v>
      </c>
      <c r="C91" s="65">
        <v>0.0566</v>
      </c>
      <c r="D91" s="66">
        <v>130</v>
      </c>
      <c r="E91" s="67">
        <v>11</v>
      </c>
    </row>
    <row r="92" ht="15.6" hidden="1" spans="2:5">
      <c r="B92" s="64">
        <v>45149</v>
      </c>
      <c r="C92" s="65">
        <v>0.0571</v>
      </c>
      <c r="D92" s="66">
        <v>135</v>
      </c>
      <c r="E92" s="67">
        <v>11</v>
      </c>
    </row>
    <row r="93" ht="15.6" hidden="1" spans="2:5">
      <c r="B93" s="64">
        <v>45152</v>
      </c>
      <c r="C93" s="65">
        <v>0.0568</v>
      </c>
      <c r="D93" s="66">
        <v>145.5</v>
      </c>
      <c r="E93" s="67">
        <v>12</v>
      </c>
    </row>
    <row r="94" ht="15.6" hidden="1" spans="2:5">
      <c r="B94" s="64">
        <v>45153</v>
      </c>
      <c r="C94" s="65">
        <v>0.0601</v>
      </c>
      <c r="D94" s="66">
        <v>217</v>
      </c>
      <c r="E94" s="67">
        <v>15</v>
      </c>
    </row>
    <row r="95" ht="15.6" hidden="1" spans="2:5">
      <c r="B95" s="64">
        <v>45154</v>
      </c>
      <c r="C95" s="65">
        <v>0.0597</v>
      </c>
      <c r="D95" s="66">
        <v>237</v>
      </c>
      <c r="E95" s="67">
        <v>17</v>
      </c>
    </row>
    <row r="96" ht="15.6" hidden="1" spans="2:5">
      <c r="B96" s="64">
        <v>45155</v>
      </c>
      <c r="C96" s="65">
        <v>0.0594</v>
      </c>
      <c r="D96" s="66">
        <v>187</v>
      </c>
      <c r="E96" s="67">
        <v>15</v>
      </c>
    </row>
    <row r="97" ht="15.6" hidden="1" spans="2:5">
      <c r="B97" s="64">
        <v>45156</v>
      </c>
      <c r="C97" s="65">
        <v>0.0595</v>
      </c>
      <c r="D97" s="66">
        <v>223</v>
      </c>
      <c r="E97" s="67">
        <v>16</v>
      </c>
    </row>
    <row r="98" ht="15.6" hidden="1" spans="2:5">
      <c r="B98" s="64">
        <v>45159</v>
      </c>
      <c r="C98" s="65">
        <v>0.0594</v>
      </c>
      <c r="D98" s="66">
        <v>230</v>
      </c>
      <c r="E98" s="67">
        <v>16</v>
      </c>
    </row>
    <row r="99" ht="15.6" hidden="1" spans="2:5">
      <c r="B99" s="64">
        <v>45160</v>
      </c>
      <c r="C99" s="65">
        <v>0.0594</v>
      </c>
      <c r="D99" s="66">
        <v>234</v>
      </c>
      <c r="E99" s="67">
        <v>16</v>
      </c>
    </row>
    <row r="100" ht="15.6" hidden="1" spans="2:5">
      <c r="B100" s="64">
        <v>45161</v>
      </c>
      <c r="C100" s="65">
        <v>0.059</v>
      </c>
      <c r="D100" s="66">
        <v>244</v>
      </c>
      <c r="E100" s="67">
        <v>17</v>
      </c>
    </row>
    <row r="101" ht="15.6" hidden="1" spans="2:5">
      <c r="B101" s="64">
        <v>45162</v>
      </c>
      <c r="C101" s="65">
        <v>0.0589</v>
      </c>
      <c r="D101" s="66">
        <v>204</v>
      </c>
      <c r="E101" s="67">
        <v>16</v>
      </c>
    </row>
    <row r="102" ht="15.6" hidden="1" spans="2:5">
      <c r="B102" s="64">
        <v>45163</v>
      </c>
      <c r="C102" s="65">
        <v>0.0595</v>
      </c>
      <c r="D102" s="66">
        <v>332</v>
      </c>
      <c r="E102" s="67">
        <v>23</v>
      </c>
    </row>
    <row r="103" ht="15.6" hidden="1" spans="2:5">
      <c r="B103" s="64">
        <v>45166</v>
      </c>
      <c r="C103" s="65">
        <v>0.0593</v>
      </c>
      <c r="D103" s="66">
        <v>355.5</v>
      </c>
      <c r="E103" s="67">
        <v>25</v>
      </c>
    </row>
    <row r="104" ht="15.6" hidden="1" spans="2:5">
      <c r="B104" s="64">
        <v>45167</v>
      </c>
      <c r="C104" s="65">
        <v>0.0592</v>
      </c>
      <c r="D104" s="66">
        <v>372.5</v>
      </c>
      <c r="E104" s="67">
        <v>25</v>
      </c>
    </row>
    <row r="105" ht="15.6" hidden="1" spans="2:5">
      <c r="B105" s="64">
        <v>45168</v>
      </c>
      <c r="C105" s="65">
        <v>0.059</v>
      </c>
      <c r="D105" s="66">
        <v>319</v>
      </c>
      <c r="E105" s="67">
        <v>21</v>
      </c>
    </row>
    <row r="106" ht="15.6" hidden="1" spans="2:5">
      <c r="B106" s="64">
        <v>45169</v>
      </c>
      <c r="C106" s="65">
        <v>0.0595</v>
      </c>
      <c r="D106" s="66">
        <v>265</v>
      </c>
      <c r="E106" s="67">
        <v>17</v>
      </c>
    </row>
    <row r="107" ht="15.6" hidden="1" spans="2:5">
      <c r="B107" s="64">
        <v>45170</v>
      </c>
      <c r="C107" s="65">
        <v>0.0588</v>
      </c>
      <c r="D107" s="66">
        <v>327</v>
      </c>
      <c r="E107" s="67">
        <v>21</v>
      </c>
    </row>
    <row r="108" ht="15.6" hidden="1" spans="2:5">
      <c r="B108" s="64">
        <v>45173</v>
      </c>
      <c r="C108" s="65">
        <v>0.0591</v>
      </c>
      <c r="D108" s="66">
        <v>416.5</v>
      </c>
      <c r="E108" s="67">
        <v>26</v>
      </c>
    </row>
    <row r="109" ht="15.6" hidden="1" spans="2:5">
      <c r="B109" s="64">
        <v>45174</v>
      </c>
      <c r="C109" s="65">
        <v>0.0593</v>
      </c>
      <c r="D109" s="66">
        <v>417</v>
      </c>
      <c r="E109" s="67">
        <v>28</v>
      </c>
    </row>
    <row r="110" ht="15.6" hidden="1" spans="2:5">
      <c r="B110" s="64">
        <v>45175</v>
      </c>
      <c r="C110" s="65">
        <v>0.0591</v>
      </c>
      <c r="D110" s="66">
        <v>325.5</v>
      </c>
      <c r="E110" s="67">
        <v>23</v>
      </c>
    </row>
    <row r="111" ht="15.6" hidden="1" spans="2:5">
      <c r="B111" s="64">
        <v>45176</v>
      </c>
      <c r="C111" s="65">
        <v>0.0593</v>
      </c>
      <c r="D111" s="66">
        <v>417</v>
      </c>
      <c r="E111" s="67">
        <v>28</v>
      </c>
    </row>
    <row r="112" ht="15.6" hidden="1" spans="2:5">
      <c r="B112" s="64">
        <v>45177</v>
      </c>
      <c r="C112" s="65">
        <v>0.0592</v>
      </c>
      <c r="D112" s="66">
        <v>383</v>
      </c>
      <c r="E112" s="67">
        <v>26</v>
      </c>
    </row>
    <row r="113" ht="15.6" hidden="1" spans="2:5">
      <c r="B113" s="64">
        <v>45180</v>
      </c>
      <c r="C113" s="65">
        <v>0.06</v>
      </c>
      <c r="D113" s="66">
        <v>164</v>
      </c>
      <c r="E113" s="67">
        <v>9</v>
      </c>
    </row>
    <row r="114" ht="15.6" hidden="1" spans="2:5">
      <c r="B114" s="64">
        <v>45181</v>
      </c>
      <c r="C114" s="65">
        <v>0.06</v>
      </c>
      <c r="D114" s="66">
        <v>45</v>
      </c>
      <c r="E114" s="67">
        <v>2</v>
      </c>
    </row>
    <row r="115" ht="15.6" hidden="1" spans="2:5">
      <c r="B115" s="64">
        <v>45182</v>
      </c>
      <c r="C115" s="65">
        <v>0.06</v>
      </c>
      <c r="D115" s="66"/>
      <c r="E115" s="67"/>
    </row>
    <row r="116" ht="15.6" hidden="1" spans="2:5">
      <c r="B116" s="64">
        <v>45183</v>
      </c>
      <c r="C116" s="65">
        <v>0.06</v>
      </c>
      <c r="D116" s="66"/>
      <c r="E116" s="67"/>
    </row>
    <row r="117" ht="15.6" hidden="1" spans="2:5">
      <c r="B117" s="64">
        <v>45184</v>
      </c>
      <c r="C117" s="65">
        <v>0.06</v>
      </c>
      <c r="D117" s="66"/>
      <c r="E117" s="67"/>
    </row>
    <row r="118" ht="15.6" hidden="1" spans="2:5">
      <c r="B118" s="64">
        <v>45187</v>
      </c>
      <c r="C118" s="65">
        <v>0.06</v>
      </c>
      <c r="D118" s="66"/>
      <c r="E118" s="67"/>
    </row>
    <row r="119" ht="15.6" hidden="1" spans="2:5">
      <c r="B119" s="64">
        <v>45188</v>
      </c>
      <c r="C119" s="65">
        <v>0.06</v>
      </c>
      <c r="D119" s="66"/>
      <c r="E119" s="67"/>
    </row>
    <row r="120" ht="15.6" hidden="1" spans="2:5">
      <c r="B120" s="64">
        <v>45189</v>
      </c>
      <c r="C120" s="65">
        <v>0.06</v>
      </c>
      <c r="D120" s="66"/>
      <c r="E120" s="67"/>
    </row>
    <row r="121" ht="15.6" hidden="1" spans="2:5">
      <c r="B121" s="64">
        <v>45190</v>
      </c>
      <c r="C121" s="65"/>
      <c r="D121" s="66"/>
      <c r="E121" s="67"/>
    </row>
    <row r="122" ht="15.6" hidden="1" spans="2:5">
      <c r="B122" s="64">
        <v>45191</v>
      </c>
      <c r="C122" s="65"/>
      <c r="D122" s="66"/>
      <c r="E122" s="67"/>
    </row>
    <row r="123" ht="15.6" hidden="1" spans="2:5">
      <c r="B123" s="64">
        <v>45194</v>
      </c>
      <c r="C123" s="65"/>
      <c r="D123" s="66"/>
      <c r="E123" s="67"/>
    </row>
    <row r="124" ht="15.6" hidden="1" spans="2:5">
      <c r="B124" s="64">
        <v>45195</v>
      </c>
      <c r="C124" s="65"/>
      <c r="D124" s="66"/>
      <c r="E124" s="67"/>
    </row>
    <row r="125" ht="15.6" hidden="1" spans="2:5">
      <c r="B125" s="64">
        <v>45196</v>
      </c>
      <c r="C125" s="65"/>
      <c r="D125" s="66"/>
      <c r="E125" s="67"/>
    </row>
    <row r="126" ht="15.6" hidden="1" spans="2:5">
      <c r="B126" s="64">
        <v>45197</v>
      </c>
      <c r="C126" s="65"/>
      <c r="D126" s="66"/>
      <c r="E126" s="67"/>
    </row>
    <row r="127" ht="15.6" hidden="1" spans="2:5">
      <c r="B127" s="64">
        <v>45198</v>
      </c>
      <c r="C127" s="65"/>
      <c r="D127" s="66"/>
      <c r="E127" s="67"/>
    </row>
    <row r="128" ht="15.6" hidden="1" spans="2:5">
      <c r="B128" s="64">
        <v>45201</v>
      </c>
      <c r="C128" s="65"/>
      <c r="D128" s="66"/>
      <c r="E128" s="67"/>
    </row>
    <row r="129" ht="15.6" hidden="1" spans="2:5">
      <c r="B129" s="64">
        <v>45202</v>
      </c>
      <c r="C129" s="65"/>
      <c r="D129" s="66"/>
      <c r="E129" s="67"/>
    </row>
    <row r="130" ht="15.6" hidden="1" spans="2:5">
      <c r="B130" s="64">
        <v>45203</v>
      </c>
      <c r="C130" s="65"/>
      <c r="D130" s="66"/>
      <c r="E130" s="67"/>
    </row>
    <row r="131" ht="15.6" hidden="1" spans="2:5">
      <c r="B131" s="64">
        <v>45204</v>
      </c>
      <c r="C131" s="65"/>
      <c r="D131" s="66"/>
      <c r="E131" s="67"/>
    </row>
    <row r="132" ht="15.6" hidden="1" spans="2:5">
      <c r="B132" s="64">
        <v>45205</v>
      </c>
      <c r="C132" s="65"/>
      <c r="D132" s="66"/>
      <c r="E132" s="67"/>
    </row>
    <row r="133" ht="15.6" hidden="1" spans="2:5">
      <c r="B133" s="64">
        <v>45208</v>
      </c>
      <c r="C133" s="65"/>
      <c r="D133" s="66"/>
      <c r="E133" s="67"/>
    </row>
    <row r="134" ht="15.6" hidden="1" spans="2:5">
      <c r="B134" s="64">
        <v>45209</v>
      </c>
      <c r="C134" s="65"/>
      <c r="D134" s="66"/>
      <c r="E134" s="67"/>
    </row>
    <row r="135" ht="15.6" hidden="1" spans="2:5">
      <c r="B135" s="64">
        <v>45210</v>
      </c>
      <c r="C135" s="65"/>
      <c r="D135" s="66"/>
      <c r="E135" s="67"/>
    </row>
    <row r="136" ht="15.6" hidden="1" spans="2:5">
      <c r="B136" s="64">
        <v>45211</v>
      </c>
      <c r="C136" s="65">
        <v>0.055</v>
      </c>
      <c r="D136" s="66">
        <v>30</v>
      </c>
      <c r="E136" s="67">
        <v>1</v>
      </c>
    </row>
    <row r="137" ht="15.6" hidden="1" spans="2:5">
      <c r="B137" s="64">
        <v>45212</v>
      </c>
      <c r="C137" s="65">
        <v>0.055</v>
      </c>
      <c r="D137" s="66"/>
      <c r="E137" s="67"/>
    </row>
    <row r="138" ht="15.6" hidden="1" spans="2:5">
      <c r="B138" s="64">
        <v>45215</v>
      </c>
      <c r="C138" s="65">
        <v>0.055</v>
      </c>
      <c r="D138" s="66"/>
      <c r="E138" s="67"/>
    </row>
    <row r="139" ht="15.6" hidden="1" spans="2:5">
      <c r="B139" s="64">
        <v>45216</v>
      </c>
      <c r="C139" s="65">
        <v>0.055</v>
      </c>
      <c r="D139" s="66"/>
      <c r="E139" s="67"/>
    </row>
    <row r="140" ht="15.6" hidden="1" spans="2:5">
      <c r="B140" s="64">
        <v>45217</v>
      </c>
      <c r="C140" s="65">
        <v>0.055</v>
      </c>
      <c r="D140" s="66"/>
      <c r="E140" s="67"/>
    </row>
    <row r="141" ht="15.6" hidden="1" spans="2:5">
      <c r="B141" s="64">
        <v>45218</v>
      </c>
      <c r="C141" s="65">
        <v>0.055</v>
      </c>
      <c r="D141" s="66"/>
      <c r="E141" s="67"/>
    </row>
    <row r="142" ht="15.6" hidden="1" spans="2:5">
      <c r="B142" s="64">
        <v>45219</v>
      </c>
      <c r="C142" s="65">
        <v>0.055</v>
      </c>
      <c r="D142" s="66"/>
      <c r="E142" s="67"/>
    </row>
    <row r="143" ht="15.6" hidden="1" spans="2:5">
      <c r="B143" s="64">
        <v>45222</v>
      </c>
      <c r="C143" s="65"/>
      <c r="D143" s="66"/>
      <c r="E143" s="67"/>
    </row>
    <row r="144" ht="15.6" hidden="1" spans="2:5">
      <c r="B144" s="64">
        <v>45223</v>
      </c>
      <c r="C144" s="65"/>
      <c r="D144" s="66"/>
      <c r="E144" s="67"/>
    </row>
    <row r="145" ht="15.6" hidden="1" spans="2:5">
      <c r="B145" s="64">
        <v>45224</v>
      </c>
      <c r="C145" s="65"/>
      <c r="D145" s="66"/>
      <c r="E145" s="67"/>
    </row>
    <row r="146" ht="15.6" hidden="1" spans="2:5">
      <c r="B146" s="64">
        <v>45225</v>
      </c>
      <c r="C146" s="65"/>
      <c r="D146" s="66"/>
      <c r="E146" s="67"/>
    </row>
    <row r="147" ht="15.6" hidden="1" spans="2:5">
      <c r="B147" s="64">
        <v>45226</v>
      </c>
      <c r="C147" s="65"/>
      <c r="D147" s="66"/>
      <c r="E147" s="67"/>
    </row>
    <row r="148" ht="15.6" hidden="1" spans="2:5">
      <c r="B148" s="64">
        <v>45229</v>
      </c>
      <c r="C148" s="65"/>
      <c r="D148" s="66"/>
      <c r="E148" s="67"/>
    </row>
    <row r="149" ht="15.6" hidden="1" spans="2:5">
      <c r="B149" s="64">
        <v>45230</v>
      </c>
      <c r="C149" s="65"/>
      <c r="D149" s="66"/>
      <c r="E149" s="67"/>
    </row>
    <row r="150" ht="15.6" hidden="1" spans="2:5">
      <c r="B150" s="64">
        <v>45231</v>
      </c>
      <c r="C150" s="65"/>
      <c r="D150" s="66"/>
      <c r="E150" s="67"/>
    </row>
    <row r="151" ht="15.6" hidden="1" spans="2:5">
      <c r="B151" s="64">
        <v>45232</v>
      </c>
      <c r="C151" s="65"/>
      <c r="D151" s="66"/>
      <c r="E151" s="67"/>
    </row>
    <row r="152" ht="15.6" hidden="1" spans="2:5">
      <c r="B152" s="64">
        <v>45233</v>
      </c>
      <c r="C152" s="65"/>
      <c r="D152" s="66"/>
      <c r="E152" s="67"/>
    </row>
    <row r="153" ht="15.6" hidden="1" spans="2:5">
      <c r="B153" s="64">
        <v>45234</v>
      </c>
      <c r="C153" s="65"/>
      <c r="D153" s="66"/>
      <c r="E153" s="67"/>
    </row>
    <row r="154" ht="15.6" hidden="1" spans="2:5">
      <c r="B154" s="64">
        <v>45236</v>
      </c>
      <c r="C154" s="65"/>
      <c r="D154" s="66"/>
      <c r="E154" s="67"/>
    </row>
    <row r="155" ht="15.6" hidden="1" spans="2:5">
      <c r="B155" s="64">
        <v>45237</v>
      </c>
      <c r="C155" s="65"/>
      <c r="D155" s="66"/>
      <c r="E155" s="67"/>
    </row>
    <row r="156" ht="15.6" hidden="1" spans="2:5">
      <c r="B156" s="64">
        <v>45243</v>
      </c>
      <c r="C156" s="65"/>
      <c r="D156" s="66"/>
      <c r="E156" s="67"/>
    </row>
    <row r="157" ht="15.6" hidden="1" spans="2:5">
      <c r="B157" s="64">
        <v>45244</v>
      </c>
      <c r="C157" s="65"/>
      <c r="D157" s="66"/>
      <c r="E157" s="67"/>
    </row>
    <row r="158" ht="15.6" hidden="1" spans="2:5">
      <c r="B158" s="64">
        <v>45245</v>
      </c>
      <c r="C158" s="65"/>
      <c r="D158" s="66"/>
      <c r="E158" s="67"/>
    </row>
    <row r="159" ht="15.6" hidden="1" spans="2:5">
      <c r="B159" s="64">
        <v>45246</v>
      </c>
      <c r="C159" s="65"/>
      <c r="D159" s="66"/>
      <c r="E159" s="67"/>
    </row>
    <row r="160" ht="15.6" hidden="1" spans="2:5">
      <c r="B160" s="64">
        <v>45247</v>
      </c>
      <c r="C160" s="65">
        <v>0.0718</v>
      </c>
      <c r="D160" s="66">
        <v>30</v>
      </c>
      <c r="E160" s="67">
        <v>2</v>
      </c>
    </row>
    <row r="161" ht="15.6" hidden="1" spans="2:5">
      <c r="B161" s="64">
        <v>45250</v>
      </c>
      <c r="C161" s="65">
        <v>0.071</v>
      </c>
      <c r="D161" s="66">
        <v>15</v>
      </c>
      <c r="E161" s="67">
        <v>1</v>
      </c>
    </row>
    <row r="162" ht="15.6" hidden="1" spans="2:5">
      <c r="B162" s="64">
        <v>45251</v>
      </c>
      <c r="C162" s="65">
        <v>0.071</v>
      </c>
      <c r="D162" s="66">
        <v>15</v>
      </c>
      <c r="E162" s="67">
        <v>1</v>
      </c>
    </row>
    <row r="163" ht="15.6" hidden="1" spans="2:5">
      <c r="B163" s="64">
        <v>45252</v>
      </c>
      <c r="C163" s="65">
        <v>0.072</v>
      </c>
      <c r="D163" s="66">
        <v>70</v>
      </c>
      <c r="E163" s="67">
        <v>3</v>
      </c>
    </row>
    <row r="164" ht="15.6" hidden="1" spans="2:5">
      <c r="B164" s="64">
        <v>45253</v>
      </c>
      <c r="C164" s="65">
        <v>0.0719</v>
      </c>
      <c r="D164" s="66">
        <v>80</v>
      </c>
      <c r="E164" s="67">
        <v>4</v>
      </c>
    </row>
    <row r="165" ht="15.6" hidden="1" spans="2:5">
      <c r="B165" s="64">
        <v>45254</v>
      </c>
      <c r="C165" s="65">
        <v>0.0719</v>
      </c>
      <c r="D165" s="66">
        <v>85</v>
      </c>
      <c r="E165" s="67">
        <v>4</v>
      </c>
    </row>
    <row r="166" ht="15.6" hidden="1" spans="2:5">
      <c r="B166" s="64">
        <v>45257</v>
      </c>
      <c r="C166" s="65">
        <v>0.0719</v>
      </c>
      <c r="D166" s="66">
        <v>85</v>
      </c>
      <c r="E166" s="67">
        <v>4</v>
      </c>
    </row>
    <row r="167" ht="15.6" hidden="1" spans="2:5">
      <c r="B167" s="64">
        <v>45258</v>
      </c>
      <c r="C167" s="65">
        <v>0.0718</v>
      </c>
      <c r="D167" s="66">
        <v>95</v>
      </c>
      <c r="E167" s="67">
        <v>5</v>
      </c>
    </row>
    <row r="168" ht="15.6" hidden="1" spans="2:5">
      <c r="B168" s="64">
        <v>45259</v>
      </c>
      <c r="C168" s="65">
        <v>0.0718</v>
      </c>
      <c r="D168" s="66">
        <v>95</v>
      </c>
      <c r="E168" s="67">
        <v>5</v>
      </c>
    </row>
    <row r="169" ht="15.6" hidden="1" spans="2:5">
      <c r="B169" s="64">
        <v>45260</v>
      </c>
      <c r="C169" s="65">
        <v>0.0718</v>
      </c>
      <c r="D169" s="66"/>
      <c r="E169" s="67"/>
    </row>
    <row r="170" ht="15.6" hidden="1" spans="2:5">
      <c r="B170" s="64">
        <v>45261</v>
      </c>
      <c r="C170" s="65">
        <v>0.0718</v>
      </c>
      <c r="D170" s="66"/>
      <c r="E170" s="67"/>
    </row>
    <row r="171" ht="15.6" hidden="1" spans="2:5">
      <c r="B171" s="64">
        <v>45264</v>
      </c>
      <c r="C171" s="65">
        <v>0.0718</v>
      </c>
      <c r="D171" s="66"/>
      <c r="E171" s="67"/>
    </row>
    <row r="172" ht="15.6" hidden="1" spans="2:5">
      <c r="B172" s="64">
        <v>45265</v>
      </c>
      <c r="C172" s="65">
        <v>0.0718</v>
      </c>
      <c r="D172" s="66"/>
      <c r="E172" s="67"/>
    </row>
    <row r="173" ht="15.6" hidden="1" spans="2:5">
      <c r="B173" s="64">
        <v>45266</v>
      </c>
      <c r="C173" s="65">
        <v>0.0718</v>
      </c>
      <c r="D173" s="66"/>
      <c r="E173" s="67"/>
    </row>
    <row r="174" ht="15.6" hidden="1" spans="2:5">
      <c r="B174" s="64">
        <v>45267</v>
      </c>
      <c r="C174" s="65">
        <v>0.0718</v>
      </c>
      <c r="D174" s="66"/>
      <c r="E174" s="67"/>
    </row>
    <row r="175" ht="15.6" hidden="1" spans="2:5">
      <c r="B175" s="64">
        <v>45268</v>
      </c>
      <c r="C175" s="65"/>
      <c r="D175" s="66"/>
      <c r="E175" s="67"/>
    </row>
    <row r="176" ht="15.6" hidden="1" spans="2:5">
      <c r="B176" s="64">
        <v>45271</v>
      </c>
      <c r="C176" s="65"/>
      <c r="D176" s="66"/>
      <c r="E176" s="67"/>
    </row>
    <row r="177" ht="15.6" hidden="1" spans="2:5">
      <c r="B177" s="64">
        <v>45272</v>
      </c>
      <c r="C177" s="65"/>
      <c r="D177" s="66"/>
      <c r="E177" s="67"/>
    </row>
    <row r="178" ht="15.6" hidden="1" spans="2:5">
      <c r="B178" s="64">
        <v>45273</v>
      </c>
      <c r="C178" s="65"/>
      <c r="D178" s="66"/>
      <c r="E178" s="67"/>
    </row>
    <row r="179" ht="15.6" hidden="1" spans="2:5">
      <c r="B179" s="64">
        <v>45274</v>
      </c>
      <c r="C179" s="65"/>
      <c r="D179" s="66"/>
      <c r="E179" s="67"/>
    </row>
    <row r="180" ht="15.6" hidden="1" spans="2:5">
      <c r="B180" s="64">
        <v>45275</v>
      </c>
      <c r="C180" s="65">
        <v>0.0779</v>
      </c>
      <c r="D180" s="66">
        <v>188</v>
      </c>
      <c r="E180" s="67">
        <v>8</v>
      </c>
    </row>
    <row r="181" ht="15.6" hidden="1" spans="2:5">
      <c r="B181" s="64">
        <v>45278</v>
      </c>
      <c r="C181" s="65">
        <v>0.0769</v>
      </c>
      <c r="D181" s="66">
        <v>276</v>
      </c>
      <c r="E181" s="67">
        <v>14</v>
      </c>
    </row>
    <row r="182" ht="15.6" hidden="1" spans="2:5">
      <c r="B182" s="64">
        <v>45279</v>
      </c>
      <c r="C182" s="65">
        <v>0.0769</v>
      </c>
      <c r="D182" s="66">
        <v>276</v>
      </c>
      <c r="E182" s="67">
        <v>13</v>
      </c>
    </row>
    <row r="183" ht="15.6" hidden="1" spans="2:5">
      <c r="B183" s="64">
        <v>45280</v>
      </c>
      <c r="C183" s="65">
        <v>0.077</v>
      </c>
      <c r="D183" s="66">
        <v>319</v>
      </c>
      <c r="E183" s="67">
        <v>16</v>
      </c>
    </row>
    <row r="184" ht="15.6" hidden="1" spans="2:5">
      <c r="B184" s="64">
        <v>45281</v>
      </c>
      <c r="C184" s="65">
        <v>0.0728</v>
      </c>
      <c r="D184" s="66">
        <v>289.8</v>
      </c>
      <c r="E184" s="67">
        <v>13</v>
      </c>
    </row>
    <row r="185" ht="15.6" hidden="1" spans="2:5">
      <c r="B185" s="64">
        <v>45282</v>
      </c>
      <c r="C185" s="65">
        <v>0.0724</v>
      </c>
      <c r="D185" s="66">
        <v>324.8</v>
      </c>
      <c r="E185" s="67">
        <v>13</v>
      </c>
    </row>
    <row r="186" ht="15.6" hidden="1" spans="2:5">
      <c r="B186" s="64">
        <v>45285</v>
      </c>
      <c r="C186" s="65">
        <v>0.0722</v>
      </c>
      <c r="D186" s="66">
        <v>347.8</v>
      </c>
      <c r="E186" s="67">
        <v>14</v>
      </c>
    </row>
    <row r="187" ht="15.6" hidden="1" spans="2:5">
      <c r="B187" s="64">
        <v>45286</v>
      </c>
      <c r="C187" s="65">
        <v>0.0725</v>
      </c>
      <c r="D187" s="66">
        <v>339.8</v>
      </c>
      <c r="E187" s="67">
        <v>14</v>
      </c>
    </row>
    <row r="188" ht="15.6" hidden="1" spans="2:5">
      <c r="B188" s="64">
        <v>45287</v>
      </c>
      <c r="C188" s="65">
        <v>0.0724</v>
      </c>
      <c r="D188" s="66">
        <v>344.8</v>
      </c>
      <c r="E188" s="67">
        <v>15</v>
      </c>
    </row>
    <row r="189" ht="15.6" hidden="1" spans="2:5">
      <c r="B189" s="64">
        <v>45288</v>
      </c>
      <c r="C189" s="65">
        <v>0.0744</v>
      </c>
      <c r="D189" s="66">
        <v>381.8</v>
      </c>
      <c r="E189" s="67">
        <v>13</v>
      </c>
    </row>
    <row r="190" ht="15.6" hidden="1" spans="2:5">
      <c r="B190" s="64">
        <v>45289</v>
      </c>
      <c r="C190" s="65">
        <v>0.0755</v>
      </c>
      <c r="D190" s="66">
        <v>325</v>
      </c>
      <c r="E190" s="67">
        <v>8</v>
      </c>
    </row>
    <row r="191" ht="15.6" spans="2:5">
      <c r="B191" s="64">
        <v>45290</v>
      </c>
      <c r="C191" s="65">
        <v>0.0755</v>
      </c>
      <c r="D191" s="66"/>
      <c r="E191" s="67"/>
    </row>
    <row r="192" ht="15.6" spans="2:5">
      <c r="B192" s="64">
        <v>45298</v>
      </c>
      <c r="C192" s="65">
        <v>0.0698</v>
      </c>
      <c r="D192" s="66">
        <v>62.8</v>
      </c>
      <c r="E192" s="67">
        <v>3</v>
      </c>
    </row>
    <row r="193" ht="15.6" spans="2:5">
      <c r="B193" s="64">
        <v>45299</v>
      </c>
      <c r="C193" s="65">
        <v>0.0697</v>
      </c>
      <c r="D193" s="66">
        <v>196.3</v>
      </c>
      <c r="E193" s="67">
        <v>8</v>
      </c>
    </row>
    <row r="194" ht="15.6" spans="2:5">
      <c r="B194" s="64">
        <v>45300</v>
      </c>
      <c r="C194" s="65">
        <v>0.0697</v>
      </c>
      <c r="D194" s="66">
        <v>216.3</v>
      </c>
      <c r="E194" s="67">
        <v>9</v>
      </c>
    </row>
    <row r="195" ht="15.6" spans="2:5">
      <c r="B195" s="64">
        <v>45301</v>
      </c>
      <c r="C195" s="65">
        <v>0.0696</v>
      </c>
      <c r="D195" s="66">
        <v>260.5</v>
      </c>
      <c r="E195" s="67">
        <v>10</v>
      </c>
    </row>
    <row r="196" ht="15.6" spans="2:5">
      <c r="B196" s="64">
        <v>45302</v>
      </c>
      <c r="C196" s="65">
        <v>0.0696</v>
      </c>
      <c r="D196" s="66">
        <v>252.5</v>
      </c>
      <c r="E196" s="67">
        <v>10</v>
      </c>
    </row>
    <row r="197" ht="15.6" spans="2:5">
      <c r="B197" s="64">
        <v>45303</v>
      </c>
      <c r="C197" s="65">
        <v>0.069</v>
      </c>
      <c r="D197" s="66">
        <v>112.5</v>
      </c>
      <c r="E197" s="67">
        <v>6</v>
      </c>
    </row>
    <row r="198" ht="15.6" spans="2:5">
      <c r="B198" s="64">
        <v>45306</v>
      </c>
      <c r="C198" s="65">
        <v>0.0729</v>
      </c>
      <c r="D198" s="66">
        <v>373.5</v>
      </c>
      <c r="E198" s="67">
        <v>13</v>
      </c>
    </row>
    <row r="199" ht="15.6" spans="2:5">
      <c r="B199" s="64">
        <v>45307</v>
      </c>
      <c r="C199" s="65">
        <v>0.0685</v>
      </c>
      <c r="D199" s="66">
        <v>516</v>
      </c>
      <c r="E199" s="67">
        <v>21</v>
      </c>
    </row>
    <row r="200" ht="15.6" spans="2:5">
      <c r="B200" s="64">
        <v>45308</v>
      </c>
      <c r="C200" s="65">
        <v>0.0676</v>
      </c>
      <c r="D200" s="66">
        <v>497.5</v>
      </c>
      <c r="E200" s="67">
        <v>21</v>
      </c>
    </row>
    <row r="201" ht="15.6" spans="2:5">
      <c r="B201" s="64">
        <v>45309</v>
      </c>
      <c r="C201" s="65">
        <v>0.0668</v>
      </c>
      <c r="D201" s="66">
        <v>447</v>
      </c>
      <c r="E201" s="67">
        <v>18</v>
      </c>
    </row>
    <row r="202" ht="15.6" spans="2:5">
      <c r="B202" s="64">
        <v>45310</v>
      </c>
      <c r="C202" s="65">
        <v>0.0668</v>
      </c>
      <c r="D202" s="66">
        <v>455.5</v>
      </c>
      <c r="E202" s="67">
        <v>19</v>
      </c>
    </row>
    <row r="203" ht="15.6" spans="2:5">
      <c r="B203" s="64">
        <v>45313</v>
      </c>
      <c r="C203" s="65">
        <v>0.0668</v>
      </c>
      <c r="D203" s="66">
        <v>482.5</v>
      </c>
      <c r="E203" s="67">
        <v>21</v>
      </c>
    </row>
    <row r="204" ht="15.6" spans="2:5">
      <c r="B204" s="64">
        <v>45314</v>
      </c>
      <c r="C204" s="65">
        <v>0.0669</v>
      </c>
      <c r="D204" s="66">
        <v>420</v>
      </c>
      <c r="E204" s="67">
        <v>17</v>
      </c>
    </row>
    <row r="205" ht="15.6" spans="2:5">
      <c r="B205" s="64">
        <v>45315</v>
      </c>
      <c r="C205" s="65">
        <v>0.0664</v>
      </c>
      <c r="D205" s="66">
        <v>438.5</v>
      </c>
      <c r="E205" s="67">
        <v>18</v>
      </c>
    </row>
    <row r="206" ht="15.6" spans="2:5">
      <c r="B206" s="64">
        <v>45316</v>
      </c>
      <c r="C206" s="65">
        <v>0.0656</v>
      </c>
      <c r="D206" s="66">
        <v>355</v>
      </c>
      <c r="E206" s="67">
        <v>14</v>
      </c>
    </row>
    <row r="207" ht="15.6" spans="2:5">
      <c r="B207" s="64">
        <v>45317</v>
      </c>
      <c r="C207" s="65">
        <v>0.0644</v>
      </c>
      <c r="D207" s="66">
        <v>404</v>
      </c>
      <c r="E207" s="67">
        <v>13</v>
      </c>
    </row>
    <row r="208" ht="15.6" spans="2:5">
      <c r="B208" s="64">
        <v>45320</v>
      </c>
      <c r="C208" s="65">
        <v>0.0622</v>
      </c>
      <c r="D208" s="66">
        <v>294</v>
      </c>
      <c r="E208" s="67">
        <v>11</v>
      </c>
    </row>
    <row r="209" ht="15.6" spans="2:5">
      <c r="B209" s="64">
        <v>45321</v>
      </c>
      <c r="C209" s="65">
        <v>0.0637</v>
      </c>
      <c r="D209" s="66">
        <v>322</v>
      </c>
      <c r="E209" s="67">
        <v>13</v>
      </c>
    </row>
    <row r="210" ht="15.6" spans="2:5">
      <c r="B210" s="64">
        <v>45322</v>
      </c>
      <c r="C210" s="65">
        <v>0.0634</v>
      </c>
      <c r="D210" s="66">
        <v>352</v>
      </c>
      <c r="E210" s="67">
        <v>14</v>
      </c>
    </row>
    <row r="211" ht="15.6" spans="2:5">
      <c r="B211" s="64">
        <v>45323</v>
      </c>
      <c r="C211" s="65">
        <v>0.0637</v>
      </c>
      <c r="D211" s="66">
        <v>142</v>
      </c>
      <c r="E211" s="67">
        <v>6</v>
      </c>
    </row>
    <row r="212" ht="15.6" spans="2:5">
      <c r="B212" s="64">
        <v>45324</v>
      </c>
      <c r="C212" s="65">
        <v>0.0609</v>
      </c>
      <c r="D212" s="66">
        <v>277</v>
      </c>
      <c r="E212" s="67">
        <v>11</v>
      </c>
    </row>
    <row r="213" ht="15.6" spans="2:5">
      <c r="B213" s="64">
        <v>45327</v>
      </c>
      <c r="C213" s="65">
        <v>0.0606</v>
      </c>
      <c r="D213" s="66">
        <v>252</v>
      </c>
      <c r="E213" s="67">
        <v>10</v>
      </c>
    </row>
    <row r="214" ht="15.6" spans="2:5">
      <c r="B214" s="64">
        <v>45328</v>
      </c>
      <c r="C214" s="65">
        <v>0.0621</v>
      </c>
      <c r="D214" s="66">
        <v>288</v>
      </c>
      <c r="E214" s="67">
        <v>10</v>
      </c>
    </row>
    <row r="215" ht="15.6" spans="2:5">
      <c r="B215" s="64">
        <v>45330</v>
      </c>
      <c r="C215" s="65">
        <v>0.0615</v>
      </c>
      <c r="D215" s="66">
        <v>244</v>
      </c>
      <c r="E215" s="67">
        <v>8</v>
      </c>
    </row>
    <row r="216" ht="15.6" spans="2:5">
      <c r="B216" s="64">
        <v>45331</v>
      </c>
      <c r="C216" s="65">
        <v>0.0624</v>
      </c>
      <c r="D216" s="66">
        <v>314</v>
      </c>
      <c r="E216" s="67">
        <v>12</v>
      </c>
    </row>
    <row r="217" ht="15.6" spans="2:5">
      <c r="B217" s="64">
        <v>45334</v>
      </c>
      <c r="C217" s="65">
        <v>0.0596</v>
      </c>
      <c r="D217" s="66">
        <v>164</v>
      </c>
      <c r="E217" s="67">
        <v>5</v>
      </c>
    </row>
    <row r="218" ht="15.6" spans="2:5">
      <c r="B218" s="64">
        <v>45335</v>
      </c>
      <c r="C218" s="65">
        <v>0.0591</v>
      </c>
      <c r="D218" s="66">
        <v>115</v>
      </c>
      <c r="E218" s="67">
        <v>4</v>
      </c>
    </row>
    <row r="219" ht="15.6" spans="2:5">
      <c r="B219" s="64">
        <v>45336</v>
      </c>
      <c r="C219" s="65">
        <v>0.0575</v>
      </c>
      <c r="D219" s="66">
        <v>150</v>
      </c>
      <c r="E219" s="67">
        <v>5</v>
      </c>
    </row>
    <row r="220" ht="15.6" spans="2:5">
      <c r="B220" s="64">
        <v>45337</v>
      </c>
      <c r="C220" s="65">
        <v>0.0657</v>
      </c>
      <c r="D220" s="66">
        <v>199</v>
      </c>
      <c r="E220" s="67">
        <v>9</v>
      </c>
    </row>
    <row r="221" ht="15.6" spans="2:5">
      <c r="B221" s="64">
        <v>45338</v>
      </c>
      <c r="C221" s="65">
        <v>0.0653</v>
      </c>
      <c r="D221" s="66">
        <v>167</v>
      </c>
      <c r="E221" s="67">
        <v>6</v>
      </c>
    </row>
    <row r="222" ht="15.6" spans="2:5">
      <c r="B222" s="64">
        <v>45341</v>
      </c>
      <c r="C222" s="65">
        <v>0.0651</v>
      </c>
      <c r="D222" s="66">
        <v>135</v>
      </c>
      <c r="E222" s="67">
        <v>4</v>
      </c>
    </row>
    <row r="223" ht="15.6" spans="2:5">
      <c r="B223" s="64">
        <v>45342</v>
      </c>
      <c r="C223" s="65">
        <v>0.065</v>
      </c>
      <c r="D223" s="66">
        <v>40</v>
      </c>
      <c r="E223" s="67">
        <v>2</v>
      </c>
    </row>
    <row r="224" ht="15.6" spans="2:5">
      <c r="B224" s="64">
        <v>45343</v>
      </c>
      <c r="C224" s="65">
        <v>0.0651</v>
      </c>
      <c r="D224" s="66">
        <v>110</v>
      </c>
      <c r="E224" s="67">
        <v>4</v>
      </c>
    </row>
    <row r="225" ht="15.6" spans="2:5">
      <c r="B225" s="64">
        <v>45344</v>
      </c>
      <c r="C225" s="65">
        <v>0.065</v>
      </c>
      <c r="D225" s="66">
        <v>85</v>
      </c>
      <c r="E225" s="67">
        <v>3</v>
      </c>
    </row>
    <row r="226" ht="15.6" spans="2:5">
      <c r="B226" s="64">
        <v>45345</v>
      </c>
      <c r="C226" s="65">
        <v>0.065</v>
      </c>
      <c r="D226" s="66">
        <v>85</v>
      </c>
      <c r="E226" s="67">
        <v>3</v>
      </c>
    </row>
    <row r="227" ht="15.6" spans="2:5">
      <c r="B227" s="64">
        <v>45348</v>
      </c>
      <c r="C227" s="65">
        <v>0.065</v>
      </c>
      <c r="D227" s="66">
        <v>85</v>
      </c>
      <c r="E227" s="67">
        <v>3</v>
      </c>
    </row>
    <row r="228" ht="15.6" spans="2:5">
      <c r="B228" s="64">
        <v>45349</v>
      </c>
      <c r="C228" s="65">
        <v>0.0652</v>
      </c>
      <c r="D228" s="66">
        <v>140</v>
      </c>
      <c r="E228" s="67">
        <v>5</v>
      </c>
    </row>
    <row r="229" ht="15.6" spans="2:5">
      <c r="B229" s="64">
        <v>45350</v>
      </c>
      <c r="C229" s="65">
        <v>0.0659</v>
      </c>
      <c r="D229" s="66">
        <v>215</v>
      </c>
      <c r="E229" s="67">
        <v>9</v>
      </c>
    </row>
    <row r="230" ht="15.6" spans="2:5">
      <c r="B230" s="64">
        <v>45351</v>
      </c>
      <c r="C230" s="65">
        <v>0.0658</v>
      </c>
      <c r="D230" s="66">
        <v>155</v>
      </c>
      <c r="E230" s="67">
        <v>6</v>
      </c>
    </row>
    <row r="231" ht="15.6" spans="2:5">
      <c r="B231" s="64">
        <v>45352</v>
      </c>
      <c r="C231" s="65">
        <v>0.0656</v>
      </c>
      <c r="D231" s="66">
        <v>209</v>
      </c>
      <c r="E231" s="67">
        <v>8</v>
      </c>
    </row>
    <row r="232" ht="15.6" spans="2:5">
      <c r="B232" s="64">
        <v>45355</v>
      </c>
      <c r="C232" s="65">
        <v>0.0652</v>
      </c>
      <c r="D232" s="66">
        <v>161</v>
      </c>
      <c r="E232" s="67">
        <v>6</v>
      </c>
    </row>
    <row r="233" ht="15.6" spans="2:5">
      <c r="B233" s="64">
        <v>45356</v>
      </c>
      <c r="C233" s="65">
        <v>0.0651</v>
      </c>
      <c r="D233" s="66">
        <v>145</v>
      </c>
      <c r="E233" s="67">
        <v>5</v>
      </c>
    </row>
    <row r="234" ht="15.6" spans="2:5">
      <c r="B234" s="64">
        <v>45357</v>
      </c>
      <c r="C234" s="65">
        <v>0.0652</v>
      </c>
      <c r="D234" s="66">
        <v>180</v>
      </c>
      <c r="E234" s="67">
        <v>6</v>
      </c>
    </row>
    <row r="235" ht="15.6" spans="2:5">
      <c r="B235" s="64">
        <v>45358</v>
      </c>
      <c r="C235" s="65">
        <v>0.0652</v>
      </c>
      <c r="D235" s="66"/>
      <c r="E235" s="67"/>
    </row>
    <row r="236" ht="15.6" spans="2:5">
      <c r="B236" s="64">
        <v>45362</v>
      </c>
      <c r="C236" s="78">
        <v>0.0651</v>
      </c>
      <c r="D236" s="79">
        <v>186</v>
      </c>
      <c r="E236" s="80">
        <v>7</v>
      </c>
    </row>
    <row r="237" ht="15.6" spans="2:5">
      <c r="B237" s="64">
        <v>45363</v>
      </c>
      <c r="C237" s="78">
        <v>0.0651</v>
      </c>
      <c r="D237" s="79">
        <v>186</v>
      </c>
      <c r="E237" s="80">
        <v>7</v>
      </c>
    </row>
    <row r="238" ht="15.6" spans="2:5">
      <c r="B238" s="64">
        <v>45364</v>
      </c>
      <c r="C238" s="78">
        <v>0.0651</v>
      </c>
      <c r="D238" s="79">
        <v>228</v>
      </c>
      <c r="E238" s="80">
        <v>6</v>
      </c>
    </row>
    <row r="239" ht="15.6" spans="2:5">
      <c r="B239" s="64">
        <v>45365</v>
      </c>
      <c r="C239" s="78">
        <v>0.0649</v>
      </c>
      <c r="D239" s="79">
        <v>83</v>
      </c>
      <c r="E239" s="80">
        <v>2</v>
      </c>
    </row>
    <row r="240" ht="15.6" spans="2:5">
      <c r="B240" s="64">
        <v>45366</v>
      </c>
      <c r="C240" s="78">
        <v>0.0653</v>
      </c>
      <c r="D240" s="79">
        <v>317</v>
      </c>
      <c r="E240" s="80">
        <v>9</v>
      </c>
    </row>
    <row r="241" ht="15.6" spans="2:5">
      <c r="B241" s="64">
        <v>45369</v>
      </c>
      <c r="C241" s="78">
        <v>0.0651</v>
      </c>
      <c r="D241" s="79">
        <v>297</v>
      </c>
      <c r="E241" s="80">
        <v>8</v>
      </c>
    </row>
    <row r="242" ht="15.6" spans="2:5">
      <c r="B242" s="64">
        <v>45370</v>
      </c>
      <c r="C242" s="78">
        <v>0.0651</v>
      </c>
      <c r="D242" s="79"/>
      <c r="E242" s="80"/>
    </row>
    <row r="243" ht="15.6" spans="2:5">
      <c r="B243" s="64">
        <v>45378</v>
      </c>
      <c r="C243" s="78">
        <v>0.0652</v>
      </c>
      <c r="D243" s="79">
        <v>258</v>
      </c>
      <c r="E243" s="80">
        <v>8</v>
      </c>
    </row>
    <row r="244" ht="15.6" spans="2:5">
      <c r="B244" s="64">
        <v>45379</v>
      </c>
      <c r="C244" s="78">
        <v>0.0652</v>
      </c>
      <c r="D244" s="79">
        <v>253</v>
      </c>
      <c r="E244" s="80">
        <v>7</v>
      </c>
    </row>
    <row r="245" ht="15.6" spans="2:5">
      <c r="B245" s="64">
        <v>45380</v>
      </c>
      <c r="C245" s="78">
        <v>0.065</v>
      </c>
      <c r="D245" s="79">
        <v>170</v>
      </c>
      <c r="E245" s="80">
        <v>5</v>
      </c>
    </row>
    <row r="246" ht="15.6" spans="2:5">
      <c r="B246" s="64">
        <v>45383</v>
      </c>
      <c r="C246" s="78">
        <v>0.0654</v>
      </c>
      <c r="D246" s="79">
        <v>344.5</v>
      </c>
      <c r="E246" s="80">
        <v>13</v>
      </c>
    </row>
    <row r="247" ht="15.6" spans="2:5">
      <c r="B247" s="64">
        <v>45384</v>
      </c>
      <c r="C247" s="78">
        <v>0.0655</v>
      </c>
      <c r="D247" s="79">
        <v>353</v>
      </c>
      <c r="E247" s="80">
        <v>14</v>
      </c>
    </row>
    <row r="248" ht="15.6" spans="2:5">
      <c r="B248" s="64">
        <v>45385</v>
      </c>
      <c r="C248" s="78">
        <v>0.0658</v>
      </c>
      <c r="D248" s="79">
        <v>265</v>
      </c>
      <c r="E248" s="80">
        <v>13</v>
      </c>
    </row>
    <row r="249" ht="15.6" spans="2:5">
      <c r="B249" s="64">
        <v>45386</v>
      </c>
      <c r="C249" s="78">
        <v>0.0658</v>
      </c>
      <c r="D249" s="79">
        <v>247</v>
      </c>
      <c r="E249" s="80">
        <v>15</v>
      </c>
    </row>
    <row r="250" ht="15.6" spans="2:5">
      <c r="B250" s="64">
        <v>45387</v>
      </c>
      <c r="C250" s="78">
        <v>0.0658</v>
      </c>
      <c r="D250" s="79">
        <v>264</v>
      </c>
      <c r="E250" s="80">
        <v>14</v>
      </c>
    </row>
    <row r="251" ht="15.6" spans="2:5">
      <c r="B251" s="64">
        <v>45388</v>
      </c>
      <c r="C251" s="78">
        <v>0.0658</v>
      </c>
      <c r="D251" s="79">
        <v>196</v>
      </c>
      <c r="E251" s="80">
        <v>10</v>
      </c>
    </row>
    <row r="252" ht="15.6" spans="2:5">
      <c r="B252" s="64">
        <v>45390</v>
      </c>
      <c r="C252" s="78">
        <v>0.0658</v>
      </c>
      <c r="D252" s="79">
        <v>246</v>
      </c>
      <c r="E252" s="80">
        <v>13</v>
      </c>
    </row>
    <row r="253" ht="15.6" spans="2:5">
      <c r="B253" s="64">
        <v>45391</v>
      </c>
      <c r="C253" s="78">
        <v>0.0658</v>
      </c>
      <c r="D253" s="79"/>
      <c r="E253" s="80"/>
    </row>
    <row r="254" ht="15.6" spans="2:5">
      <c r="B254" s="64">
        <v>45397</v>
      </c>
      <c r="C254" s="78">
        <v>0.0671</v>
      </c>
      <c r="D254" s="79">
        <v>243</v>
      </c>
      <c r="E254" s="80">
        <v>10</v>
      </c>
    </row>
    <row r="255" ht="15.6" spans="2:5">
      <c r="B255" s="64">
        <v>45398</v>
      </c>
      <c r="C255" s="78">
        <v>0.0673</v>
      </c>
      <c r="D255" s="79">
        <v>205</v>
      </c>
      <c r="E255" s="80">
        <v>10</v>
      </c>
    </row>
    <row r="256" ht="15.6" spans="2:5">
      <c r="B256" s="64">
        <v>45399</v>
      </c>
      <c r="C256" s="78">
        <v>0.0674</v>
      </c>
      <c r="D256" s="79">
        <v>203</v>
      </c>
      <c r="E256" s="80">
        <v>10</v>
      </c>
    </row>
    <row r="257" ht="15.6" spans="2:5">
      <c r="B257" s="64">
        <v>45400</v>
      </c>
      <c r="C257" s="78">
        <v>0.0676</v>
      </c>
      <c r="D257" s="79">
        <v>161</v>
      </c>
      <c r="E257" s="80">
        <v>9</v>
      </c>
    </row>
    <row r="258" ht="15.6" spans="2:5">
      <c r="B258" s="64">
        <v>45401</v>
      </c>
      <c r="C258" s="78">
        <v>0.0674</v>
      </c>
      <c r="D258" s="79">
        <v>176</v>
      </c>
      <c r="E258" s="80">
        <v>9</v>
      </c>
    </row>
    <row r="259" ht="15.6" spans="2:5">
      <c r="B259" s="64">
        <v>45404</v>
      </c>
      <c r="C259" s="78">
        <v>0.0669</v>
      </c>
      <c r="D259" s="79">
        <v>162</v>
      </c>
      <c r="E259" s="80">
        <v>7</v>
      </c>
    </row>
    <row r="260" ht="15.6" spans="2:5">
      <c r="B260" s="64">
        <v>45405</v>
      </c>
      <c r="C260" s="78">
        <v>0.0672</v>
      </c>
      <c r="D260" s="79">
        <v>169</v>
      </c>
      <c r="E260" s="80">
        <v>8</v>
      </c>
    </row>
    <row r="261" ht="15.6" spans="2:5">
      <c r="B261" s="64">
        <v>45406</v>
      </c>
      <c r="C261" s="78">
        <v>0.0674</v>
      </c>
      <c r="D261" s="79">
        <v>204</v>
      </c>
      <c r="E261" s="80">
        <v>12</v>
      </c>
    </row>
    <row r="262" ht="15.6" spans="2:5">
      <c r="B262" s="64">
        <v>45407</v>
      </c>
      <c r="C262" s="78">
        <v>0.0675</v>
      </c>
      <c r="D262" s="79">
        <v>183</v>
      </c>
      <c r="E262" s="80">
        <v>11</v>
      </c>
    </row>
    <row r="263" ht="15.6" spans="2:5">
      <c r="B263" s="64">
        <v>45408</v>
      </c>
      <c r="C263" s="78">
        <v>0.0676</v>
      </c>
      <c r="D263" s="79">
        <v>225</v>
      </c>
      <c r="E263" s="80">
        <v>12</v>
      </c>
    </row>
    <row r="264" ht="15.6" spans="2:5">
      <c r="B264" s="64">
        <v>45411</v>
      </c>
      <c r="C264" s="78">
        <v>0.0675</v>
      </c>
      <c r="D264" s="79">
        <v>231.5</v>
      </c>
      <c r="E264" s="80">
        <v>13</v>
      </c>
    </row>
    <row r="265" ht="15.6" spans="2:5">
      <c r="B265" s="64">
        <v>45412</v>
      </c>
      <c r="C265" s="78">
        <v>0.0673</v>
      </c>
      <c r="D265" s="79">
        <v>125</v>
      </c>
      <c r="E265" s="80">
        <v>6</v>
      </c>
    </row>
    <row r="266" ht="15.6" spans="2:5">
      <c r="B266" s="64">
        <v>45413</v>
      </c>
      <c r="C266" s="78">
        <v>0.0676</v>
      </c>
      <c r="D266" s="79">
        <v>229</v>
      </c>
      <c r="E266" s="80">
        <v>12</v>
      </c>
    </row>
    <row r="267" ht="15.6" spans="2:5">
      <c r="B267" s="64">
        <v>45414</v>
      </c>
      <c r="C267" s="78">
        <v>0.068</v>
      </c>
      <c r="D267" s="79">
        <v>239</v>
      </c>
      <c r="E267" s="80">
        <v>13</v>
      </c>
    </row>
    <row r="268" ht="15.6" spans="2:5">
      <c r="B268" s="64">
        <v>45415</v>
      </c>
      <c r="C268" s="78">
        <v>0.0683</v>
      </c>
      <c r="D268" s="79">
        <v>263.5</v>
      </c>
      <c r="E268" s="80">
        <v>13</v>
      </c>
    </row>
    <row r="269" ht="15.6" spans="2:5">
      <c r="B269" s="64">
        <v>45418</v>
      </c>
      <c r="C269" s="78">
        <v>0.0683</v>
      </c>
      <c r="D269" s="79">
        <v>280.5</v>
      </c>
      <c r="E269" s="80">
        <v>15</v>
      </c>
    </row>
    <row r="270" ht="15.6" spans="2:5">
      <c r="B270" s="64">
        <v>45419</v>
      </c>
      <c r="C270" s="78">
        <v>0.0689</v>
      </c>
      <c r="D270" s="79">
        <v>357.4</v>
      </c>
      <c r="E270" s="80">
        <v>16</v>
      </c>
    </row>
    <row r="271" ht="15.6" spans="2:5">
      <c r="B271" s="64">
        <v>45420</v>
      </c>
      <c r="C271" s="78">
        <v>0.0687</v>
      </c>
      <c r="D271" s="79">
        <v>313.5</v>
      </c>
      <c r="E271" s="80">
        <v>15</v>
      </c>
    </row>
    <row r="272" ht="15.6" spans="2:5">
      <c r="B272" s="64">
        <v>45422</v>
      </c>
      <c r="C272" s="78">
        <v>0.0692</v>
      </c>
      <c r="D272" s="79">
        <v>357.6</v>
      </c>
      <c r="E272" s="80">
        <v>17</v>
      </c>
    </row>
    <row r="273" ht="15.6" spans="2:5">
      <c r="B273" s="64">
        <v>45425</v>
      </c>
      <c r="C273" s="78">
        <v>0.0693</v>
      </c>
      <c r="D273" s="79">
        <v>331.6</v>
      </c>
      <c r="E273" s="80">
        <v>15</v>
      </c>
    </row>
    <row r="274" ht="15.6" spans="2:5">
      <c r="B274" s="64">
        <v>45426</v>
      </c>
      <c r="C274" s="78">
        <v>0.0685</v>
      </c>
      <c r="D274" s="79">
        <v>196</v>
      </c>
      <c r="E274" s="80">
        <v>12</v>
      </c>
    </row>
    <row r="275" ht="15.6" spans="2:5">
      <c r="B275" s="64">
        <v>45427</v>
      </c>
      <c r="C275" s="78">
        <v>0.069</v>
      </c>
      <c r="D275" s="79">
        <v>333</v>
      </c>
      <c r="E275" s="80">
        <v>18</v>
      </c>
    </row>
    <row r="276" ht="15.6" spans="2:5">
      <c r="B276" s="64">
        <v>45428</v>
      </c>
      <c r="C276" s="78">
        <v>0.0691</v>
      </c>
      <c r="D276" s="79">
        <v>358</v>
      </c>
      <c r="E276" s="80">
        <v>18</v>
      </c>
    </row>
    <row r="277" ht="15.6" spans="2:5">
      <c r="B277" s="64">
        <v>45429</v>
      </c>
      <c r="C277" s="78">
        <v>0.0692</v>
      </c>
      <c r="D277" s="79">
        <v>363</v>
      </c>
      <c r="E277" s="80">
        <v>17</v>
      </c>
    </row>
    <row r="278" ht="15.6" spans="2:5">
      <c r="B278" s="64">
        <v>45432</v>
      </c>
      <c r="C278" s="78">
        <v>0.0691</v>
      </c>
      <c r="D278" s="79">
        <v>380.6</v>
      </c>
      <c r="E278" s="80">
        <v>19</v>
      </c>
    </row>
    <row r="279" ht="15.6" spans="2:5">
      <c r="B279" s="64">
        <v>45433</v>
      </c>
      <c r="C279" s="78">
        <v>0.0692</v>
      </c>
      <c r="D279" s="79">
        <v>394</v>
      </c>
      <c r="E279" s="80">
        <v>21</v>
      </c>
    </row>
    <row r="280" ht="15.6" spans="2:5">
      <c r="B280" s="64">
        <v>45434</v>
      </c>
      <c r="C280" s="78">
        <v>0.0692</v>
      </c>
      <c r="D280" s="79">
        <v>358</v>
      </c>
      <c r="E280" s="80">
        <v>19</v>
      </c>
    </row>
    <row r="281" ht="15.6" spans="2:5">
      <c r="B281" s="64">
        <v>45435</v>
      </c>
      <c r="C281" s="78">
        <v>0.0693</v>
      </c>
      <c r="D281" s="79">
        <v>392</v>
      </c>
      <c r="E281" s="80">
        <v>19</v>
      </c>
    </row>
    <row r="282" ht="15.6" spans="2:5">
      <c r="B282" s="64">
        <v>45436</v>
      </c>
      <c r="C282" s="78">
        <v>0.0693</v>
      </c>
      <c r="D282" s="79">
        <v>409.5</v>
      </c>
      <c r="E282" s="80">
        <v>18</v>
      </c>
    </row>
    <row r="283" ht="15.6" spans="2:5">
      <c r="B283" s="64">
        <v>45439</v>
      </c>
      <c r="C283" s="78">
        <v>0.0694</v>
      </c>
      <c r="D283" s="79">
        <v>410.6</v>
      </c>
      <c r="E283" s="80">
        <v>19</v>
      </c>
    </row>
    <row r="284" ht="15.6" spans="2:5">
      <c r="B284" s="64">
        <v>45441</v>
      </c>
      <c r="C284" s="78">
        <v>0.0694</v>
      </c>
      <c r="D284" s="79">
        <v>478.2</v>
      </c>
      <c r="E284" s="80">
        <v>19</v>
      </c>
    </row>
    <row r="285" ht="15.6" spans="2:5">
      <c r="B285" s="64">
        <v>45442</v>
      </c>
      <c r="C285" s="78">
        <v>0.0674</v>
      </c>
      <c r="D285" s="79">
        <v>434</v>
      </c>
      <c r="E285" s="80">
        <v>18</v>
      </c>
    </row>
    <row r="286" ht="15.6" spans="2:5">
      <c r="B286" s="64">
        <v>45443</v>
      </c>
      <c r="C286" s="78">
        <v>0.0678</v>
      </c>
      <c r="D286" s="79">
        <v>277</v>
      </c>
      <c r="E286" s="80">
        <v>13</v>
      </c>
    </row>
    <row r="287" ht="15.6" spans="2:5">
      <c r="B287" s="64">
        <v>45446</v>
      </c>
      <c r="C287" s="78">
        <v>0.0679</v>
      </c>
      <c r="D287" s="79">
        <v>423</v>
      </c>
      <c r="E287" s="80">
        <v>16</v>
      </c>
    </row>
    <row r="288" ht="15.6" spans="2:5">
      <c r="B288" s="64">
        <v>45447</v>
      </c>
      <c r="C288" s="78">
        <v>0.068</v>
      </c>
      <c r="D288" s="79">
        <v>443.4</v>
      </c>
      <c r="E288" s="80">
        <v>17</v>
      </c>
    </row>
    <row r="289" ht="15.6" spans="2:5">
      <c r="B289" s="64">
        <v>45448</v>
      </c>
      <c r="C289" s="78">
        <v>0.0681</v>
      </c>
      <c r="D289" s="79">
        <v>394.2</v>
      </c>
      <c r="E289" s="80">
        <v>17</v>
      </c>
    </row>
    <row r="290" ht="15.6" spans="2:5">
      <c r="B290" s="64">
        <v>45449</v>
      </c>
      <c r="C290" s="78">
        <v>0.0681</v>
      </c>
      <c r="D290" s="79">
        <v>464.9</v>
      </c>
      <c r="E290" s="80">
        <v>19</v>
      </c>
    </row>
    <row r="291" ht="15.6" spans="2:5">
      <c r="B291" s="64">
        <v>45450</v>
      </c>
      <c r="C291" s="78">
        <v>0.0672</v>
      </c>
      <c r="D291" s="79">
        <v>472.3</v>
      </c>
      <c r="E291" s="80">
        <v>18</v>
      </c>
    </row>
    <row r="292" ht="15.6" spans="2:5">
      <c r="B292" s="64">
        <v>45453</v>
      </c>
      <c r="C292" s="78">
        <v>0.0671</v>
      </c>
      <c r="D292" s="79">
        <v>492.8</v>
      </c>
      <c r="E292" s="80">
        <v>19</v>
      </c>
    </row>
    <row r="293" ht="15.6" spans="2:5">
      <c r="B293" s="64">
        <v>45454</v>
      </c>
      <c r="C293" s="78">
        <v>0.0671</v>
      </c>
      <c r="D293" s="79">
        <v>507.5</v>
      </c>
      <c r="E293" s="80">
        <v>19</v>
      </c>
    </row>
    <row r="294" ht="15.6" spans="2:5">
      <c r="B294" s="64">
        <v>45455</v>
      </c>
      <c r="C294" s="78">
        <v>0.0672</v>
      </c>
      <c r="D294" s="79">
        <v>510.7</v>
      </c>
      <c r="E294" s="80">
        <v>18</v>
      </c>
    </row>
    <row r="295" ht="15.6" spans="2:5">
      <c r="B295" s="64">
        <v>45456</v>
      </c>
      <c r="C295" s="78">
        <v>0.0671</v>
      </c>
      <c r="D295" s="79">
        <v>405.5</v>
      </c>
      <c r="E295" s="80">
        <v>17</v>
      </c>
    </row>
    <row r="296" ht="15.6" spans="2:5">
      <c r="B296" s="64">
        <v>45457</v>
      </c>
      <c r="C296" s="78">
        <v>0.0671</v>
      </c>
      <c r="D296" s="79"/>
      <c r="E296" s="80"/>
    </row>
    <row r="297" ht="15.6" spans="2:5">
      <c r="B297" s="64">
        <v>45463</v>
      </c>
      <c r="C297" s="78">
        <v>0.067</v>
      </c>
      <c r="D297" s="79">
        <v>559.2</v>
      </c>
      <c r="E297" s="80">
        <v>21</v>
      </c>
    </row>
    <row r="298" ht="15.6" spans="2:5">
      <c r="B298" s="64">
        <v>45464</v>
      </c>
      <c r="C298" s="78">
        <v>0.067</v>
      </c>
      <c r="D298" s="79">
        <v>582.8</v>
      </c>
      <c r="E298" s="80">
        <v>22</v>
      </c>
    </row>
    <row r="299" ht="15.6" spans="2:5">
      <c r="B299" s="64">
        <v>45467</v>
      </c>
      <c r="C299" s="78">
        <v>0.0669</v>
      </c>
      <c r="D299" s="79">
        <v>598.85</v>
      </c>
      <c r="E299" s="80">
        <v>23</v>
      </c>
    </row>
    <row r="300" ht="15.6" spans="2:5">
      <c r="B300" s="64">
        <v>45468</v>
      </c>
      <c r="C300" s="78">
        <v>0.0671</v>
      </c>
      <c r="D300" s="79">
        <v>514.75</v>
      </c>
      <c r="E300" s="80">
        <v>18</v>
      </c>
    </row>
    <row r="301" ht="15.6" spans="2:5">
      <c r="B301" s="64">
        <v>45470</v>
      </c>
      <c r="C301" s="78">
        <v>0.0671</v>
      </c>
      <c r="D301" s="79">
        <v>635.8</v>
      </c>
      <c r="E301" s="80">
        <v>22</v>
      </c>
    </row>
    <row r="302" ht="15.6" spans="2:5">
      <c r="B302" s="64">
        <v>45471</v>
      </c>
      <c r="C302" s="78">
        <v>0.0673</v>
      </c>
      <c r="D302" s="79">
        <v>399.9</v>
      </c>
      <c r="E302" s="80">
        <v>13</v>
      </c>
    </row>
    <row r="303" ht="15.6" spans="2:5">
      <c r="B303" s="64">
        <v>45474</v>
      </c>
      <c r="C303" s="78">
        <v>0.0673</v>
      </c>
      <c r="D303" s="79">
        <v>546</v>
      </c>
      <c r="E303" s="80">
        <v>15</v>
      </c>
    </row>
    <row r="304" ht="15.6" spans="2:5">
      <c r="B304" s="64">
        <v>45475</v>
      </c>
      <c r="C304" s="78">
        <v>0.0676</v>
      </c>
      <c r="D304" s="79">
        <v>539.7</v>
      </c>
      <c r="E304" s="80">
        <v>15</v>
      </c>
    </row>
    <row r="305" ht="15.6" spans="2:5">
      <c r="B305" s="64">
        <v>45476</v>
      </c>
      <c r="C305" s="78">
        <v>0.0676</v>
      </c>
      <c r="D305" s="79">
        <v>473.97</v>
      </c>
      <c r="E305" s="80">
        <v>15</v>
      </c>
    </row>
    <row r="306" ht="15.6" spans="2:5">
      <c r="B306" s="64">
        <v>45477</v>
      </c>
      <c r="C306" s="78">
        <v>0.0679</v>
      </c>
      <c r="D306" s="79">
        <v>533.8</v>
      </c>
      <c r="E306" s="80">
        <v>14</v>
      </c>
    </row>
    <row r="307" ht="15.6" spans="2:5">
      <c r="B307" s="64">
        <v>45478</v>
      </c>
      <c r="C307" s="78">
        <v>0.0671</v>
      </c>
      <c r="D307" s="79">
        <v>561.8</v>
      </c>
      <c r="E307" s="80">
        <v>21</v>
      </c>
    </row>
    <row r="308" ht="15.6" spans="2:5">
      <c r="B308" s="64">
        <v>45481</v>
      </c>
      <c r="C308" s="78">
        <v>0.0686</v>
      </c>
      <c r="D308" s="79">
        <v>357</v>
      </c>
      <c r="E308" s="80">
        <v>12</v>
      </c>
    </row>
    <row r="309" ht="15.6" spans="2:5">
      <c r="B309" s="64">
        <v>45482</v>
      </c>
      <c r="C309" s="78">
        <v>0.0693</v>
      </c>
      <c r="D309" s="79">
        <v>473.5</v>
      </c>
      <c r="E309" s="80">
        <v>14</v>
      </c>
    </row>
    <row r="310" ht="15.6" spans="2:5">
      <c r="B310" s="64">
        <v>45483</v>
      </c>
      <c r="C310" s="78">
        <v>0.0696</v>
      </c>
      <c r="D310" s="79">
        <v>612.3</v>
      </c>
      <c r="E310" s="80">
        <v>16</v>
      </c>
    </row>
    <row r="311" ht="15.6" spans="2:5">
      <c r="B311" s="64">
        <v>45484</v>
      </c>
      <c r="C311" s="78">
        <v>0.0697</v>
      </c>
      <c r="D311" s="79">
        <v>414.8</v>
      </c>
      <c r="E311" s="80">
        <v>15</v>
      </c>
    </row>
    <row r="312" ht="15.6" spans="2:5">
      <c r="B312" s="64">
        <v>45485</v>
      </c>
      <c r="C312" s="78">
        <v>0.0699</v>
      </c>
      <c r="D312" s="79">
        <v>426</v>
      </c>
      <c r="E312" s="80">
        <v>16</v>
      </c>
    </row>
    <row r="313" ht="15.6" spans="2:5">
      <c r="B313" s="64">
        <v>45488</v>
      </c>
      <c r="C313" s="78">
        <v>0.0692</v>
      </c>
      <c r="D313" s="79">
        <v>381</v>
      </c>
      <c r="E313" s="80">
        <v>16</v>
      </c>
    </row>
    <row r="314" ht="15.6" spans="2:5">
      <c r="B314" s="64">
        <v>45489</v>
      </c>
      <c r="C314" s="78">
        <v>0.0692</v>
      </c>
      <c r="D314" s="79">
        <v>349.1</v>
      </c>
      <c r="E314" s="80">
        <v>18</v>
      </c>
    </row>
    <row r="315" ht="15.6" spans="2:5">
      <c r="B315" s="64">
        <v>45490</v>
      </c>
      <c r="C315" s="78">
        <v>0.07</v>
      </c>
      <c r="D315" s="79">
        <v>437.5</v>
      </c>
      <c r="E315" s="80">
        <v>18</v>
      </c>
    </row>
    <row r="316" ht="15.6" spans="2:5">
      <c r="B316" s="64">
        <v>45491</v>
      </c>
      <c r="C316" s="78">
        <v>0.0702</v>
      </c>
      <c r="D316" s="79">
        <v>395.5</v>
      </c>
      <c r="E316" s="80">
        <v>15</v>
      </c>
    </row>
    <row r="317" ht="15.6" spans="2:5">
      <c r="B317" s="64">
        <v>45492</v>
      </c>
      <c r="C317" s="78">
        <v>0.0707</v>
      </c>
      <c r="D317" s="79">
        <v>460.2</v>
      </c>
      <c r="E317" s="80">
        <v>17</v>
      </c>
    </row>
    <row r="318" ht="15.6" spans="2:5">
      <c r="B318" s="64">
        <v>45495</v>
      </c>
      <c r="C318" s="78">
        <v>0.07</v>
      </c>
      <c r="D318" s="79">
        <v>283</v>
      </c>
      <c r="E318" s="80">
        <v>16</v>
      </c>
    </row>
    <row r="319" ht="15.6" spans="2:5">
      <c r="B319" s="64">
        <v>45496</v>
      </c>
      <c r="C319" s="78">
        <v>0.0708</v>
      </c>
      <c r="D319" s="79">
        <v>262.7</v>
      </c>
      <c r="E319" s="80">
        <v>14</v>
      </c>
    </row>
    <row r="320" ht="15.6" spans="2:5">
      <c r="B320" s="64">
        <v>45497</v>
      </c>
      <c r="C320" s="78">
        <v>0.0712</v>
      </c>
      <c r="D320" s="79">
        <v>300.3</v>
      </c>
      <c r="E320" s="80">
        <v>15</v>
      </c>
    </row>
    <row r="321" ht="15.6" spans="2:5">
      <c r="B321" s="64">
        <v>45498</v>
      </c>
      <c r="C321" s="78">
        <v>0.0711</v>
      </c>
      <c r="D321" s="79">
        <v>374.9</v>
      </c>
      <c r="E321" s="80">
        <v>18</v>
      </c>
    </row>
    <row r="322" ht="15.6" spans="2:5">
      <c r="B322" s="64">
        <v>45499</v>
      </c>
      <c r="C322" s="78">
        <v>0.0708</v>
      </c>
      <c r="D322" s="79">
        <v>462</v>
      </c>
      <c r="E322" s="80">
        <v>20</v>
      </c>
    </row>
    <row r="323" ht="15.6" spans="2:5">
      <c r="B323" s="64">
        <v>45502</v>
      </c>
      <c r="C323" s="78">
        <v>0.0721</v>
      </c>
      <c r="D323" s="79">
        <v>573.9</v>
      </c>
      <c r="E323" s="80">
        <v>20</v>
      </c>
    </row>
    <row r="324" ht="15.6" spans="2:5">
      <c r="B324" s="64">
        <v>45503</v>
      </c>
      <c r="C324" s="78">
        <v>0.0723</v>
      </c>
      <c r="D324" s="79">
        <v>563.9</v>
      </c>
      <c r="E324" s="80">
        <v>20</v>
      </c>
    </row>
    <row r="325" ht="15.6" spans="2:5">
      <c r="B325" s="64">
        <v>45504</v>
      </c>
      <c r="C325" s="78">
        <v>0.0716</v>
      </c>
      <c r="D325" s="79">
        <v>272.6</v>
      </c>
      <c r="E325" s="80">
        <v>15</v>
      </c>
    </row>
    <row r="326" ht="15.6" spans="2:5">
      <c r="B326" s="64">
        <v>45505</v>
      </c>
      <c r="C326" s="78">
        <v>0.0729</v>
      </c>
      <c r="D326" s="79">
        <v>629.5</v>
      </c>
      <c r="E326" s="80">
        <v>16</v>
      </c>
    </row>
    <row r="327" ht="15.6" spans="2:5">
      <c r="B327" s="64">
        <v>45506</v>
      </c>
      <c r="C327" s="78">
        <v>0.0731</v>
      </c>
      <c r="D327" s="79">
        <v>569.1</v>
      </c>
      <c r="E327" s="80">
        <v>13</v>
      </c>
    </row>
    <row r="328" ht="15.6" spans="2:5">
      <c r="B328" s="64">
        <v>45509</v>
      </c>
      <c r="C328" s="78">
        <v>0.0732</v>
      </c>
      <c r="D328" s="79">
        <v>657.2</v>
      </c>
      <c r="E328" s="80">
        <v>16</v>
      </c>
    </row>
    <row r="329" ht="15.6" spans="2:5">
      <c r="B329" s="64">
        <v>45510</v>
      </c>
      <c r="C329" s="78">
        <v>0.0732</v>
      </c>
      <c r="D329" s="79">
        <v>609.9</v>
      </c>
      <c r="E329" s="80">
        <v>17</v>
      </c>
    </row>
    <row r="330" ht="15.6" spans="2:5">
      <c r="B330" s="64">
        <v>45511</v>
      </c>
      <c r="C330" s="78">
        <v>0.0736</v>
      </c>
      <c r="D330" s="79">
        <v>640.1</v>
      </c>
      <c r="E330" s="80">
        <v>19</v>
      </c>
    </row>
    <row r="331" ht="15.6" spans="2:5">
      <c r="B331" s="64">
        <v>45512</v>
      </c>
      <c r="C331" s="78">
        <v>0.0736</v>
      </c>
      <c r="D331" s="79">
        <v>677.7</v>
      </c>
      <c r="E331" s="80">
        <v>20</v>
      </c>
    </row>
    <row r="332" ht="15.6" spans="2:5">
      <c r="B332" s="64">
        <v>45513</v>
      </c>
      <c r="C332" s="78">
        <v>0.0736</v>
      </c>
      <c r="D332" s="79">
        <v>760.5</v>
      </c>
      <c r="E332" s="80">
        <v>24</v>
      </c>
    </row>
    <row r="333" ht="15.6" spans="2:5">
      <c r="B333" s="64">
        <v>45516</v>
      </c>
      <c r="C333" s="78">
        <v>0.073</v>
      </c>
      <c r="D333" s="79">
        <v>640.7</v>
      </c>
      <c r="E333" s="80">
        <v>14</v>
      </c>
    </row>
    <row r="334" ht="15.6" spans="2:5">
      <c r="B334" s="64">
        <v>45517</v>
      </c>
      <c r="C334" s="78">
        <v>0.0724</v>
      </c>
      <c r="D334" s="79">
        <v>585.5</v>
      </c>
      <c r="E334" s="80">
        <v>13</v>
      </c>
    </row>
    <row r="335" ht="15.6" spans="2:5">
      <c r="B335" s="64">
        <v>45518</v>
      </c>
      <c r="C335" s="78">
        <v>0.0708</v>
      </c>
      <c r="D335" s="79">
        <v>89</v>
      </c>
      <c r="E335" s="80">
        <v>2</v>
      </c>
    </row>
    <row r="336" ht="15.6" spans="2:5">
      <c r="B336" s="64">
        <v>45519</v>
      </c>
      <c r="C336" s="78">
        <v>0.0728</v>
      </c>
      <c r="D336" s="79">
        <v>508</v>
      </c>
      <c r="E336" s="80">
        <v>8</v>
      </c>
    </row>
    <row r="337" ht="15.6" spans="2:5">
      <c r="B337" s="64">
        <v>45520</v>
      </c>
      <c r="C337" s="78">
        <v>0.0724</v>
      </c>
      <c r="D337" s="79">
        <v>515</v>
      </c>
      <c r="E337" s="80">
        <v>11</v>
      </c>
    </row>
    <row r="338" ht="15.6" spans="2:5">
      <c r="B338" s="64">
        <v>45523</v>
      </c>
      <c r="C338" s="78">
        <v>0.071</v>
      </c>
      <c r="D338" s="79">
        <v>139.3</v>
      </c>
      <c r="E338" s="80">
        <v>10</v>
      </c>
    </row>
    <row r="339" ht="15.6" spans="2:5">
      <c r="B339" s="64">
        <v>45524</v>
      </c>
      <c r="C339" s="78">
        <v>0.071</v>
      </c>
      <c r="D339" s="79">
        <v>576.8</v>
      </c>
      <c r="E339" s="80">
        <v>14</v>
      </c>
    </row>
    <row r="340" ht="15.6" spans="2:5">
      <c r="B340" s="64">
        <v>45525</v>
      </c>
      <c r="C340" s="78">
        <v>0.0722</v>
      </c>
      <c r="D340" s="79">
        <v>213.4</v>
      </c>
      <c r="E340" s="80">
        <v>13</v>
      </c>
    </row>
    <row r="341" ht="15.6" spans="2:5">
      <c r="B341" s="64">
        <v>45526</v>
      </c>
      <c r="C341" s="78">
        <v>0.0724</v>
      </c>
      <c r="D341" s="79">
        <v>596.6</v>
      </c>
      <c r="E341" s="80">
        <v>17</v>
      </c>
    </row>
    <row r="342" ht="15.6" spans="2:5">
      <c r="B342" s="64">
        <v>45527</v>
      </c>
      <c r="C342" s="78">
        <v>0.0721</v>
      </c>
      <c r="D342" s="79">
        <v>562.7</v>
      </c>
      <c r="E342" s="80">
        <v>19</v>
      </c>
    </row>
    <row r="343" ht="15.6" spans="2:5">
      <c r="B343" s="64">
        <v>45530</v>
      </c>
      <c r="C343" s="78">
        <v>0.0725</v>
      </c>
      <c r="D343" s="79">
        <v>699</v>
      </c>
      <c r="E343" s="80">
        <v>18</v>
      </c>
    </row>
    <row r="344" ht="15.6" spans="2:5">
      <c r="B344" s="64">
        <v>45531</v>
      </c>
      <c r="C344" s="78">
        <v>0.0724</v>
      </c>
      <c r="D344" s="79">
        <v>676.7</v>
      </c>
      <c r="E344" s="80">
        <v>19</v>
      </c>
    </row>
    <row r="345" ht="15.6" spans="2:5">
      <c r="B345" s="64">
        <v>45532</v>
      </c>
      <c r="C345" s="78">
        <v>0.0725</v>
      </c>
      <c r="D345" s="79">
        <v>547.2</v>
      </c>
      <c r="E345" s="80">
        <v>16</v>
      </c>
    </row>
    <row r="346" ht="15.6" spans="2:5">
      <c r="B346" s="64">
        <v>45533</v>
      </c>
      <c r="C346" s="78">
        <v>0.0726</v>
      </c>
      <c r="D346" s="79">
        <v>544.5</v>
      </c>
      <c r="E346" s="80">
        <v>13</v>
      </c>
    </row>
    <row r="347" ht="15.6" spans="2:5">
      <c r="B347" s="64">
        <v>45534</v>
      </c>
      <c r="C347" s="78">
        <v>0.0721</v>
      </c>
      <c r="D347" s="79">
        <v>171.8</v>
      </c>
      <c r="E347" s="80">
        <v>8</v>
      </c>
    </row>
    <row r="348" ht="15.6" spans="2:5">
      <c r="B348" s="64">
        <v>45537</v>
      </c>
      <c r="C348" s="78">
        <v>0.0725</v>
      </c>
      <c r="D348" s="79">
        <v>625.7</v>
      </c>
      <c r="E348" s="80">
        <v>17</v>
      </c>
    </row>
    <row r="349" ht="15.6" spans="2:5">
      <c r="B349" s="64">
        <v>45538</v>
      </c>
      <c r="C349" s="78">
        <v>0.0728</v>
      </c>
      <c r="D349" s="79">
        <v>527.5</v>
      </c>
      <c r="E349" s="80">
        <v>13</v>
      </c>
    </row>
    <row r="350" ht="15.6" spans="2:5">
      <c r="B350" s="64">
        <v>45539</v>
      </c>
      <c r="C350" s="78">
        <v>0.0727</v>
      </c>
      <c r="D350" s="79">
        <v>529.1</v>
      </c>
      <c r="E350" s="80">
        <v>15</v>
      </c>
    </row>
    <row r="351" ht="15.6" spans="2:5">
      <c r="B351" s="64">
        <v>45540</v>
      </c>
      <c r="C351" s="78">
        <v>0.073</v>
      </c>
      <c r="D351" s="79">
        <v>674</v>
      </c>
      <c r="E351" s="80">
        <v>10</v>
      </c>
    </row>
    <row r="352" ht="15.6" spans="2:5">
      <c r="B352" s="64">
        <v>45541</v>
      </c>
      <c r="C352" s="78">
        <v>0.0727</v>
      </c>
      <c r="D352" s="79">
        <v>941</v>
      </c>
      <c r="E352" s="80">
        <v>24</v>
      </c>
    </row>
    <row r="353" ht="15.6" spans="2:5">
      <c r="B353" s="64">
        <v>45544</v>
      </c>
      <c r="C353" s="78">
        <v>0.0724</v>
      </c>
      <c r="D353" s="79">
        <v>660</v>
      </c>
      <c r="E353" s="80">
        <v>20</v>
      </c>
    </row>
    <row r="354" ht="15.6" spans="2:5">
      <c r="B354" s="64">
        <v>45545</v>
      </c>
      <c r="C354" s="78">
        <v>0.0721</v>
      </c>
      <c r="D354" s="79">
        <v>634.1</v>
      </c>
      <c r="E354" s="80">
        <v>20</v>
      </c>
    </row>
    <row r="355" ht="15.6" spans="2:5">
      <c r="B355" s="64">
        <v>45546</v>
      </c>
      <c r="C355" s="78">
        <v>0.0726</v>
      </c>
      <c r="D355" s="79">
        <v>755.6</v>
      </c>
      <c r="E355" s="80">
        <v>17</v>
      </c>
    </row>
    <row r="356" ht="15.6" spans="2:5">
      <c r="B356" s="64">
        <v>45547</v>
      </c>
      <c r="C356" s="78">
        <v>0.0726</v>
      </c>
      <c r="D356" s="79">
        <v>684.7</v>
      </c>
      <c r="E356" s="80">
        <v>16</v>
      </c>
    </row>
    <row r="357" ht="15.6" spans="2:5">
      <c r="B357" s="64">
        <v>45548</v>
      </c>
      <c r="C357" s="78">
        <v>0.0728</v>
      </c>
      <c r="D357" s="79">
        <v>525.4</v>
      </c>
      <c r="E357" s="80">
        <v>16</v>
      </c>
    </row>
    <row r="358" ht="15.6" spans="2:5">
      <c r="B358" s="64">
        <v>45551</v>
      </c>
      <c r="C358" s="78">
        <v>0.072</v>
      </c>
      <c r="D358" s="79">
        <v>232.8</v>
      </c>
      <c r="E358" s="80">
        <v>11</v>
      </c>
    </row>
    <row r="359" ht="15.6" spans="2:5">
      <c r="B359" s="64">
        <v>45552</v>
      </c>
      <c r="C359" s="78">
        <v>0.0729</v>
      </c>
      <c r="D359" s="79">
        <v>519.2</v>
      </c>
      <c r="E359" s="80">
        <v>13</v>
      </c>
    </row>
    <row r="360" ht="15.6" spans="2:5">
      <c r="B360" s="64">
        <v>45553</v>
      </c>
      <c r="C360" s="78">
        <v>0.0728</v>
      </c>
      <c r="D360" s="79">
        <v>407.6</v>
      </c>
      <c r="E360" s="80">
        <v>17</v>
      </c>
    </row>
    <row r="361" ht="15.6" spans="2:5">
      <c r="B361" s="64">
        <v>45554</v>
      </c>
      <c r="C361" s="78">
        <v>0.0729</v>
      </c>
      <c r="D361" s="79">
        <v>427.4</v>
      </c>
      <c r="E361" s="80">
        <v>14</v>
      </c>
    </row>
    <row r="362" ht="15.6" spans="2:5">
      <c r="B362" s="64">
        <v>45555</v>
      </c>
      <c r="C362" s="78">
        <v>0.0731</v>
      </c>
      <c r="D362" s="79">
        <v>522.1</v>
      </c>
      <c r="E362" s="80">
        <v>13</v>
      </c>
    </row>
    <row r="363" ht="15.6" spans="2:5">
      <c r="B363" s="64">
        <v>45558</v>
      </c>
      <c r="C363" s="78">
        <v>0.0732</v>
      </c>
      <c r="D363" s="79">
        <v>673.3</v>
      </c>
      <c r="E363" s="80">
        <v>22</v>
      </c>
    </row>
    <row r="364" ht="15.6" spans="2:5">
      <c r="B364" s="64">
        <v>45559</v>
      </c>
      <c r="C364" s="78">
        <v>0.0733</v>
      </c>
      <c r="D364" s="79">
        <v>705.2</v>
      </c>
      <c r="E364" s="80">
        <v>18</v>
      </c>
    </row>
    <row r="365" ht="15.6" spans="2:5">
      <c r="B365" s="64">
        <v>45560</v>
      </c>
      <c r="C365" s="78">
        <v>0.0731</v>
      </c>
      <c r="D365" s="79">
        <v>320.4</v>
      </c>
      <c r="E365" s="80">
        <v>17</v>
      </c>
    </row>
    <row r="366" ht="15.6" spans="2:5">
      <c r="B366" s="64">
        <v>45561</v>
      </c>
      <c r="C366" s="78">
        <v>0.0732</v>
      </c>
      <c r="D366" s="79">
        <v>642</v>
      </c>
      <c r="E366" s="80">
        <v>17</v>
      </c>
    </row>
    <row r="367" ht="15.6" spans="2:5">
      <c r="B367" s="64">
        <v>45562</v>
      </c>
      <c r="C367" s="78">
        <v>0.0742</v>
      </c>
      <c r="D367" s="79">
        <v>688.9</v>
      </c>
      <c r="E367" s="80">
        <v>19</v>
      </c>
    </row>
    <row r="368" ht="15.6" spans="2:5">
      <c r="B368" s="64">
        <v>45565</v>
      </c>
      <c r="C368" s="78">
        <v>0.0737</v>
      </c>
      <c r="D368" s="79">
        <v>411.4</v>
      </c>
      <c r="E368" s="80">
        <v>17</v>
      </c>
    </row>
    <row r="369" ht="15.6" spans="2:5">
      <c r="B369" s="64">
        <v>45566</v>
      </c>
      <c r="C369" s="78">
        <v>0.0744</v>
      </c>
      <c r="D369" s="79">
        <v>702</v>
      </c>
      <c r="E369" s="80">
        <v>17</v>
      </c>
    </row>
    <row r="370" ht="15.6" spans="2:5">
      <c r="B370" s="64">
        <v>45567</v>
      </c>
      <c r="C370" s="78">
        <v>0.0739</v>
      </c>
      <c r="D370" s="79">
        <v>431.1</v>
      </c>
      <c r="E370" s="80">
        <v>16</v>
      </c>
    </row>
    <row r="371" ht="15.6" spans="2:5">
      <c r="B371" s="64">
        <v>45568</v>
      </c>
      <c r="C371" s="78">
        <v>0.0743</v>
      </c>
      <c r="D371" s="79">
        <v>753.9</v>
      </c>
      <c r="E371" s="80">
        <v>16</v>
      </c>
    </row>
    <row r="372" ht="15.6" spans="2:5">
      <c r="B372" s="64">
        <v>45569</v>
      </c>
      <c r="C372" s="78">
        <v>0.0743</v>
      </c>
      <c r="D372" s="79">
        <v>750.2</v>
      </c>
      <c r="E372" s="80">
        <v>17</v>
      </c>
    </row>
    <row r="373" ht="15.6" spans="2:5">
      <c r="B373" s="64">
        <v>45572</v>
      </c>
      <c r="C373" s="78">
        <v>0.0743</v>
      </c>
      <c r="D373" s="79">
        <v>800.3</v>
      </c>
      <c r="E373" s="80">
        <v>18</v>
      </c>
    </row>
    <row r="374" ht="15.6" spans="2:5">
      <c r="B374" s="64">
        <v>45573</v>
      </c>
      <c r="C374" s="78">
        <v>0.0742</v>
      </c>
      <c r="D374" s="79">
        <v>632.1</v>
      </c>
      <c r="E374" s="80">
        <v>18</v>
      </c>
    </row>
    <row r="375" ht="15.6" spans="2:5">
      <c r="B375" s="64">
        <v>45574</v>
      </c>
      <c r="C375" s="78">
        <v>0.0741</v>
      </c>
      <c r="D375" s="79">
        <v>641.8</v>
      </c>
      <c r="E375" s="80">
        <v>15</v>
      </c>
    </row>
    <row r="376" ht="15.6" spans="2:5">
      <c r="B376" s="64">
        <v>45575</v>
      </c>
      <c r="C376" s="78">
        <v>0.0741</v>
      </c>
      <c r="D376" s="79">
        <v>646.3</v>
      </c>
      <c r="E376" s="80">
        <v>17</v>
      </c>
    </row>
    <row r="377" ht="15.6" spans="2:5">
      <c r="B377" s="64">
        <v>45576</v>
      </c>
      <c r="C377" s="78">
        <v>0.0752</v>
      </c>
      <c r="D377" s="79">
        <v>648.5</v>
      </c>
      <c r="E377" s="80">
        <v>17</v>
      </c>
    </row>
    <row r="378" ht="15.6" spans="2:5">
      <c r="B378" s="64">
        <v>45579</v>
      </c>
      <c r="C378" s="78">
        <v>0.075</v>
      </c>
      <c r="D378" s="79">
        <v>694</v>
      </c>
      <c r="E378" s="80">
        <v>20</v>
      </c>
    </row>
    <row r="379" ht="15.6" spans="2:5">
      <c r="B379" s="64">
        <v>45580</v>
      </c>
      <c r="C379" s="78">
        <v>0.0744</v>
      </c>
      <c r="D379" s="79">
        <v>575.8</v>
      </c>
      <c r="E379" s="80">
        <v>20</v>
      </c>
    </row>
    <row r="380" ht="15.6" spans="2:5">
      <c r="B380" s="64">
        <v>45581</v>
      </c>
      <c r="C380" s="78">
        <v>0.0741</v>
      </c>
      <c r="D380" s="79">
        <v>618.5</v>
      </c>
      <c r="E380" s="80">
        <v>19</v>
      </c>
    </row>
    <row r="381" ht="15.6" spans="2:5">
      <c r="B381" s="64">
        <v>45582</v>
      </c>
      <c r="C381" s="78">
        <v>0.0749</v>
      </c>
      <c r="D381" s="79">
        <v>640.4</v>
      </c>
      <c r="E381" s="80">
        <v>19</v>
      </c>
    </row>
    <row r="382" ht="15.6" spans="2:5">
      <c r="B382" s="64">
        <v>45583</v>
      </c>
      <c r="C382" s="78">
        <v>0.0749</v>
      </c>
      <c r="D382" s="79">
        <v>602.3</v>
      </c>
      <c r="E382" s="80">
        <v>18</v>
      </c>
    </row>
    <row r="383" ht="15.6" spans="2:5">
      <c r="B383" s="64">
        <v>45586</v>
      </c>
      <c r="C383" s="78">
        <v>0.0751</v>
      </c>
      <c r="D383" s="79">
        <v>588.5</v>
      </c>
      <c r="E383" s="80">
        <v>17</v>
      </c>
    </row>
    <row r="384" ht="15.6" spans="2:5">
      <c r="B384" s="64">
        <v>45587</v>
      </c>
      <c r="C384" s="78">
        <v>0.0752</v>
      </c>
      <c r="D384" s="79">
        <v>570.9</v>
      </c>
      <c r="E384" s="80">
        <v>17</v>
      </c>
    </row>
    <row r="385" ht="15.6" spans="2:5">
      <c r="B385" s="64">
        <v>45588</v>
      </c>
      <c r="C385" s="78">
        <v>0.075</v>
      </c>
      <c r="D385" s="79">
        <v>612.7</v>
      </c>
      <c r="E385" s="80">
        <v>19</v>
      </c>
    </row>
    <row r="386" ht="15.6" spans="2:5">
      <c r="B386" s="64">
        <v>45589</v>
      </c>
      <c r="C386" s="78">
        <v>0.0753</v>
      </c>
      <c r="D386" s="79">
        <v>679.7</v>
      </c>
      <c r="E386" s="80">
        <v>19</v>
      </c>
    </row>
    <row r="387" ht="15.6" spans="2:5">
      <c r="B387" s="64">
        <v>45590</v>
      </c>
      <c r="C387" s="78">
        <v>0.0752</v>
      </c>
      <c r="D387" s="79">
        <v>705.1</v>
      </c>
      <c r="E387" s="80">
        <v>19</v>
      </c>
    </row>
    <row r="388" ht="15.6" spans="2:5">
      <c r="B388" s="64">
        <v>45593</v>
      </c>
      <c r="C388" s="78">
        <v>0.0753</v>
      </c>
      <c r="D388" s="79">
        <v>832.4</v>
      </c>
      <c r="E388" s="80">
        <v>22</v>
      </c>
    </row>
    <row r="389" ht="15.6" spans="2:5">
      <c r="B389" s="64">
        <v>45594</v>
      </c>
      <c r="C389" s="78">
        <v>0.0753</v>
      </c>
      <c r="D389" s="79">
        <v>794.2</v>
      </c>
      <c r="E389" s="80">
        <v>22</v>
      </c>
    </row>
    <row r="390" ht="15.6" spans="2:5">
      <c r="B390" s="64">
        <v>45595</v>
      </c>
      <c r="C390" s="78">
        <v>0.0752</v>
      </c>
      <c r="D390" s="79">
        <v>756.7</v>
      </c>
      <c r="E390" s="80">
        <v>23</v>
      </c>
    </row>
    <row r="391" ht="15.6" spans="2:5">
      <c r="B391" s="64">
        <v>45596</v>
      </c>
      <c r="C391" s="78">
        <v>0.0755</v>
      </c>
      <c r="D391" s="79">
        <v>742.9</v>
      </c>
      <c r="E391" s="80">
        <v>22</v>
      </c>
    </row>
    <row r="392" ht="15.6" spans="2:5">
      <c r="B392" s="64">
        <v>45597</v>
      </c>
      <c r="C392" s="78">
        <v>0.0754</v>
      </c>
      <c r="D392" s="79">
        <v>986.1</v>
      </c>
      <c r="E392" s="80">
        <v>27</v>
      </c>
    </row>
    <row r="393" ht="15.6" spans="2:5">
      <c r="B393" s="64">
        <v>45600</v>
      </c>
      <c r="C393" s="78">
        <v>0.0752</v>
      </c>
      <c r="D393" s="79">
        <v>986.2</v>
      </c>
      <c r="E393" s="80">
        <v>32</v>
      </c>
    </row>
    <row r="394" ht="15.6" spans="2:5">
      <c r="B394" s="64">
        <v>45601</v>
      </c>
      <c r="C394" s="78">
        <v>0.075</v>
      </c>
      <c r="D394" s="79">
        <v>957.9</v>
      </c>
      <c r="E394" s="80">
        <v>28</v>
      </c>
    </row>
    <row r="395" ht="15.6" spans="2:5">
      <c r="B395" s="64">
        <v>45602</v>
      </c>
      <c r="C395" s="78">
        <v>0.075</v>
      </c>
      <c r="D395" s="79">
        <v>925.1</v>
      </c>
      <c r="E395" s="80">
        <v>28</v>
      </c>
    </row>
    <row r="396" ht="15.6" spans="2:5">
      <c r="B396" s="64">
        <v>45603</v>
      </c>
      <c r="C396" s="78">
        <v>0.075</v>
      </c>
      <c r="D396" s="79"/>
      <c r="E396" s="80"/>
    </row>
    <row r="397" ht="15.6" spans="2:5">
      <c r="B397" s="64">
        <v>45610</v>
      </c>
      <c r="C397" s="78">
        <v>0.077</v>
      </c>
      <c r="D397" s="79">
        <v>242</v>
      </c>
      <c r="E397" s="80">
        <v>9</v>
      </c>
    </row>
    <row r="398" ht="15.6" spans="2:5">
      <c r="B398" s="64">
        <v>45611</v>
      </c>
      <c r="C398" s="78">
        <v>0.0764</v>
      </c>
      <c r="D398" s="79">
        <v>449.9</v>
      </c>
      <c r="E398" s="80">
        <v>22</v>
      </c>
    </row>
    <row r="399" ht="15.6" spans="2:5">
      <c r="B399" s="64">
        <v>45612</v>
      </c>
      <c r="C399" s="78">
        <v>0.0765</v>
      </c>
      <c r="D399" s="79">
        <v>497</v>
      </c>
      <c r="E399" s="80">
        <v>18</v>
      </c>
    </row>
    <row r="400" ht="15.6" spans="2:5">
      <c r="B400" s="64">
        <v>45614</v>
      </c>
      <c r="C400" s="78">
        <v>0.0765</v>
      </c>
      <c r="D400" s="79">
        <v>541.1</v>
      </c>
      <c r="E400" s="80">
        <v>20</v>
      </c>
    </row>
    <row r="401" ht="15.6" spans="2:5">
      <c r="B401" s="64">
        <v>45615</v>
      </c>
      <c r="C401" s="78">
        <v>0.0771</v>
      </c>
      <c r="D401" s="79">
        <v>525.3</v>
      </c>
      <c r="E401" s="80">
        <v>23</v>
      </c>
    </row>
    <row r="402" ht="15.6" spans="2:5">
      <c r="B402" s="64">
        <v>45616</v>
      </c>
      <c r="C402" s="78">
        <v>0.0768</v>
      </c>
      <c r="D402" s="79">
        <v>524.1</v>
      </c>
      <c r="E402" s="80">
        <v>25</v>
      </c>
    </row>
    <row r="403" ht="15.6" spans="2:5">
      <c r="B403" s="64">
        <v>45617</v>
      </c>
      <c r="C403" s="78">
        <v>0.0769</v>
      </c>
      <c r="D403" s="79">
        <v>547.5</v>
      </c>
      <c r="E403" s="80">
        <v>24</v>
      </c>
    </row>
    <row r="404" ht="15.6" spans="2:5">
      <c r="B404" s="64">
        <v>45618</v>
      </c>
      <c r="C404" s="78">
        <v>0.0766</v>
      </c>
      <c r="D404" s="79">
        <v>538.1</v>
      </c>
      <c r="E404" s="80">
        <v>23</v>
      </c>
    </row>
    <row r="405" ht="15.6" spans="2:5">
      <c r="B405" s="64">
        <v>45619</v>
      </c>
      <c r="C405" s="78">
        <v>0.0769</v>
      </c>
      <c r="D405" s="79">
        <v>674.9</v>
      </c>
      <c r="E405" s="80">
        <v>23</v>
      </c>
    </row>
    <row r="406" ht="15.6" spans="2:5">
      <c r="B406" s="64">
        <v>45621</v>
      </c>
      <c r="C406" s="78">
        <v>0.0774</v>
      </c>
      <c r="D406" s="79">
        <v>688.5</v>
      </c>
      <c r="E406" s="80">
        <v>23</v>
      </c>
    </row>
    <row r="407" ht="15.6" spans="2:5">
      <c r="B407" s="64">
        <v>45622</v>
      </c>
      <c r="C407" s="78">
        <v>0.0783</v>
      </c>
      <c r="D407" s="79">
        <v>621.1</v>
      </c>
      <c r="E407" s="80">
        <v>26</v>
      </c>
    </row>
    <row r="408" ht="15.6" spans="2:5">
      <c r="B408" s="64">
        <v>45623</v>
      </c>
      <c r="C408" s="78">
        <v>0.0786</v>
      </c>
      <c r="D408" s="79">
        <v>647.9</v>
      </c>
      <c r="E408" s="80">
        <v>28</v>
      </c>
    </row>
    <row r="409" ht="15.6" spans="2:5">
      <c r="B409" s="64">
        <v>45624</v>
      </c>
      <c r="C409" s="78">
        <v>0.0785</v>
      </c>
      <c r="D409" s="79">
        <v>542.5</v>
      </c>
      <c r="E409" s="80">
        <v>26</v>
      </c>
    </row>
    <row r="410" ht="15.6" spans="2:5">
      <c r="B410" s="64">
        <v>45625</v>
      </c>
      <c r="C410" s="78">
        <v>0.0783</v>
      </c>
      <c r="D410" s="79">
        <v>395.9</v>
      </c>
      <c r="E410" s="80">
        <v>27</v>
      </c>
    </row>
    <row r="411" ht="15.6" spans="2:5">
      <c r="B411" s="64">
        <v>45628</v>
      </c>
      <c r="C411" s="78">
        <v>0.0785</v>
      </c>
      <c r="D411" s="79">
        <v>479.6</v>
      </c>
      <c r="E411" s="80">
        <v>25</v>
      </c>
    </row>
    <row r="412" ht="15.6" spans="2:5">
      <c r="B412" s="64">
        <v>45629</v>
      </c>
      <c r="C412" s="78">
        <v>0.0788</v>
      </c>
      <c r="D412" s="79">
        <v>484.9</v>
      </c>
      <c r="E412" s="80">
        <v>24</v>
      </c>
    </row>
    <row r="413" ht="15.6" spans="2:5">
      <c r="B413" s="64">
        <v>45630</v>
      </c>
      <c r="C413" s="78">
        <v>0.0791</v>
      </c>
      <c r="D413" s="79">
        <v>666.1</v>
      </c>
      <c r="E413" s="80">
        <v>28</v>
      </c>
    </row>
    <row r="414" ht="15.6" spans="2:5">
      <c r="B414" s="64">
        <v>45631</v>
      </c>
      <c r="C414" s="78">
        <v>0.0791</v>
      </c>
      <c r="D414" s="79">
        <v>549.4</v>
      </c>
      <c r="E414" s="80">
        <v>23</v>
      </c>
    </row>
    <row r="415" ht="15.6" spans="2:5">
      <c r="B415" s="64">
        <v>45632</v>
      </c>
      <c r="C415" s="78">
        <v>0.0781</v>
      </c>
      <c r="D415" s="79">
        <v>293.4</v>
      </c>
      <c r="E415" s="80">
        <v>22</v>
      </c>
    </row>
    <row r="416" ht="15.6" spans="2:5">
      <c r="B416" s="64">
        <v>45635</v>
      </c>
      <c r="C416" s="78">
        <v>0.0778</v>
      </c>
      <c r="D416" s="79">
        <v>282.6</v>
      </c>
      <c r="E416" s="80">
        <v>20</v>
      </c>
    </row>
    <row r="417" ht="15.6" spans="2:5">
      <c r="B417" s="64">
        <v>45636</v>
      </c>
      <c r="C417" s="78">
        <v>0.0772</v>
      </c>
      <c r="D417" s="79">
        <v>265</v>
      </c>
      <c r="E417" s="80">
        <v>18</v>
      </c>
    </row>
    <row r="418" ht="15.6" spans="2:5">
      <c r="B418" s="64">
        <v>45637</v>
      </c>
      <c r="C418" s="78">
        <v>0.0768</v>
      </c>
      <c r="D418" s="79">
        <v>278.9</v>
      </c>
      <c r="E418" s="80">
        <v>17</v>
      </c>
    </row>
    <row r="419" ht="15.6" spans="2:5">
      <c r="B419" s="64">
        <v>45638</v>
      </c>
      <c r="C419" s="78">
        <v>0.0758</v>
      </c>
      <c r="D419" s="79">
        <v>392.8</v>
      </c>
      <c r="E419" s="80">
        <v>20</v>
      </c>
    </row>
    <row r="420" ht="15.6" spans="2:5">
      <c r="B420" s="64">
        <v>45639</v>
      </c>
      <c r="C420" s="78">
        <v>0.0762</v>
      </c>
      <c r="D420" s="79">
        <v>284.2</v>
      </c>
      <c r="E420" s="80">
        <v>17</v>
      </c>
    </row>
    <row r="421" ht="15.6" spans="2:5">
      <c r="B421" s="64">
        <v>45642</v>
      </c>
      <c r="C421" s="78">
        <v>0.0773</v>
      </c>
      <c r="D421" s="79">
        <v>345.3</v>
      </c>
      <c r="E421" s="80">
        <v>18</v>
      </c>
    </row>
    <row r="422" ht="15.6" spans="2:5">
      <c r="B422" s="64">
        <v>45643</v>
      </c>
      <c r="C422" s="78">
        <v>0.0766</v>
      </c>
      <c r="D422" s="79">
        <v>245.5</v>
      </c>
      <c r="E422" s="80">
        <v>19</v>
      </c>
    </row>
    <row r="423" ht="15.6" spans="2:5">
      <c r="B423" s="64">
        <v>45644</v>
      </c>
      <c r="C423" s="78">
        <v>0.0764</v>
      </c>
      <c r="D423" s="79">
        <v>232.5</v>
      </c>
      <c r="E423" s="80">
        <v>16</v>
      </c>
    </row>
    <row r="424" ht="15.6" spans="2:5">
      <c r="B424" s="64">
        <v>45645</v>
      </c>
      <c r="C424" s="78">
        <v>0.0765</v>
      </c>
      <c r="D424" s="79">
        <v>225.6</v>
      </c>
      <c r="E424" s="80">
        <v>16</v>
      </c>
    </row>
    <row r="425" ht="15.6" spans="2:5">
      <c r="B425" s="64">
        <v>45646</v>
      </c>
      <c r="C425" s="78">
        <v>0.0768</v>
      </c>
      <c r="D425" s="79">
        <v>332.7</v>
      </c>
      <c r="E425" s="80">
        <v>20</v>
      </c>
    </row>
    <row r="426" ht="15.6" spans="2:5">
      <c r="B426" s="64">
        <v>45649</v>
      </c>
      <c r="C426" s="78">
        <v>0.0763</v>
      </c>
      <c r="D426" s="79">
        <v>317.9</v>
      </c>
      <c r="E426" s="80">
        <v>17</v>
      </c>
    </row>
    <row r="427" ht="15.6" spans="2:5">
      <c r="B427" s="64">
        <v>45650</v>
      </c>
      <c r="C427" s="78">
        <v>0.0762</v>
      </c>
      <c r="D427" s="79">
        <v>318.5</v>
      </c>
      <c r="E427" s="80">
        <v>15</v>
      </c>
    </row>
    <row r="428" ht="15.6" spans="2:5">
      <c r="B428" s="64">
        <v>45651</v>
      </c>
      <c r="C428" s="78">
        <v>0.0764</v>
      </c>
      <c r="D428" s="79">
        <v>483.9</v>
      </c>
      <c r="E428" s="80">
        <v>16</v>
      </c>
    </row>
    <row r="429" ht="15.6" spans="2:5">
      <c r="B429" s="64">
        <v>45652</v>
      </c>
      <c r="C429" s="78">
        <v>0.0745</v>
      </c>
      <c r="D429" s="79">
        <v>320.7</v>
      </c>
      <c r="E429" s="80">
        <v>16</v>
      </c>
    </row>
    <row r="430" ht="15.6" spans="2:5">
      <c r="B430" s="64">
        <v>45653</v>
      </c>
      <c r="C430" s="78">
        <v>0.0714</v>
      </c>
      <c r="D430" s="79">
        <v>188</v>
      </c>
      <c r="E430" s="80">
        <v>9</v>
      </c>
    </row>
    <row r="431" ht="15.6" spans="2:5">
      <c r="B431" s="64">
        <v>45654</v>
      </c>
      <c r="C431" s="78">
        <v>0.0655</v>
      </c>
      <c r="D431" s="79">
        <v>187</v>
      </c>
      <c r="E431" s="80">
        <v>8</v>
      </c>
    </row>
    <row r="432" ht="15.6" spans="2:5">
      <c r="B432" s="64">
        <v>45655</v>
      </c>
      <c r="C432" s="78">
        <v>0.0655</v>
      </c>
      <c r="D432" s="79"/>
      <c r="E432" s="80"/>
    </row>
    <row r="433" ht="15.6" spans="2:5">
      <c r="B433" s="64">
        <v>45663</v>
      </c>
      <c r="C433" s="78">
        <v>0.0716</v>
      </c>
      <c r="D433" s="79">
        <v>110</v>
      </c>
      <c r="E433" s="80">
        <v>2</v>
      </c>
    </row>
    <row r="434" ht="15.6" spans="2:5">
      <c r="B434" s="64">
        <v>45664</v>
      </c>
      <c r="C434" s="78">
        <v>0.0648</v>
      </c>
      <c r="D434" s="79">
        <v>71</v>
      </c>
      <c r="E434" s="80">
        <v>4</v>
      </c>
    </row>
    <row r="435" ht="15.6" spans="2:5">
      <c r="B435" s="64">
        <v>45665</v>
      </c>
      <c r="C435" s="78">
        <v>0.0643</v>
      </c>
      <c r="D435" s="79">
        <v>65</v>
      </c>
      <c r="E435" s="80">
        <v>2</v>
      </c>
    </row>
    <row r="436" ht="15.6" spans="2:5">
      <c r="B436" s="64">
        <v>45666</v>
      </c>
      <c r="C436" s="78">
        <v>0.0634</v>
      </c>
      <c r="D436" s="79">
        <v>275</v>
      </c>
      <c r="E436" s="80">
        <v>12</v>
      </c>
    </row>
    <row r="437" ht="15.6" spans="2:5">
      <c r="B437" s="64">
        <v>45667</v>
      </c>
      <c r="C437" s="78">
        <v>0.0633</v>
      </c>
      <c r="D437" s="79">
        <v>267.5</v>
      </c>
      <c r="E437" s="80">
        <v>12</v>
      </c>
    </row>
    <row r="438" ht="15.6" spans="2:5">
      <c r="B438" s="64">
        <v>45670</v>
      </c>
      <c r="C438" s="78">
        <v>0.0634</v>
      </c>
      <c r="D438" s="79">
        <v>182</v>
      </c>
      <c r="E438" s="80">
        <v>7</v>
      </c>
    </row>
    <row r="439" ht="15.6" spans="2:5">
      <c r="B439" s="64">
        <v>45671</v>
      </c>
      <c r="C439" s="78">
        <v>0.0635</v>
      </c>
      <c r="D439" s="79">
        <v>217</v>
      </c>
      <c r="E439" s="80">
        <v>16</v>
      </c>
    </row>
    <row r="440" ht="15.6" spans="2:5">
      <c r="B440" s="64">
        <v>45672</v>
      </c>
      <c r="C440" s="78">
        <v>0.0635</v>
      </c>
      <c r="D440" s="79">
        <v>473</v>
      </c>
      <c r="E440" s="80">
        <v>18</v>
      </c>
    </row>
    <row r="441" ht="15.6" spans="2:5">
      <c r="B441" s="64">
        <v>45673</v>
      </c>
      <c r="C441" s="78">
        <v>0.0635</v>
      </c>
      <c r="D441" s="79">
        <v>588</v>
      </c>
      <c r="E441" s="80">
        <v>20</v>
      </c>
    </row>
    <row r="442" ht="15.6" spans="2:5">
      <c r="B442" s="64">
        <v>45674</v>
      </c>
      <c r="C442" s="78">
        <v>0.0635</v>
      </c>
      <c r="D442" s="79"/>
      <c r="E442" s="80"/>
    </row>
    <row r="443" ht="15.6" spans="2:5">
      <c r="B443" s="64">
        <v>45678</v>
      </c>
      <c r="C443" s="78">
        <v>0.0681</v>
      </c>
      <c r="D443" s="79">
        <v>427.5</v>
      </c>
      <c r="E443" s="80">
        <v>21</v>
      </c>
    </row>
    <row r="444" ht="15.6" spans="2:5">
      <c r="B444" s="64">
        <v>45679</v>
      </c>
      <c r="C444" s="78">
        <v>0.0716</v>
      </c>
      <c r="D444" s="79">
        <v>486.4</v>
      </c>
      <c r="E444" s="80">
        <v>22</v>
      </c>
    </row>
    <row r="445" ht="15.6" spans="2:5">
      <c r="B445" s="64">
        <v>45680</v>
      </c>
      <c r="C445" s="78">
        <v>0.0733</v>
      </c>
      <c r="D445" s="79">
        <v>362</v>
      </c>
      <c r="E445" s="80">
        <v>20</v>
      </c>
    </row>
    <row r="446" ht="15.6" spans="2:5">
      <c r="B446" s="64">
        <v>45681</v>
      </c>
      <c r="C446" s="78">
        <v>0.0736</v>
      </c>
      <c r="D446" s="79">
        <v>480.3</v>
      </c>
      <c r="E446" s="80">
        <v>24</v>
      </c>
    </row>
    <row r="447" ht="15.6" spans="2:5">
      <c r="B447" s="64">
        <v>45684</v>
      </c>
      <c r="C447" s="78">
        <v>0.0754</v>
      </c>
      <c r="D447" s="79">
        <v>423</v>
      </c>
      <c r="E447" s="80">
        <v>23</v>
      </c>
    </row>
    <row r="448" ht="15.6" spans="2:5">
      <c r="B448" s="64">
        <v>45685</v>
      </c>
      <c r="C448" s="78">
        <v>0.0765</v>
      </c>
      <c r="D448" s="79">
        <v>621.5</v>
      </c>
      <c r="E448" s="80">
        <v>29</v>
      </c>
    </row>
    <row r="449" ht="15.6" spans="2:5">
      <c r="B449" s="64">
        <v>45687</v>
      </c>
      <c r="C449" s="78">
        <v>0.0769</v>
      </c>
      <c r="D449" s="79">
        <v>658.4</v>
      </c>
      <c r="E449" s="80">
        <v>25</v>
      </c>
    </row>
    <row r="450" ht="15.6" spans="2:5">
      <c r="B450" s="64">
        <v>45688</v>
      </c>
      <c r="C450" s="78">
        <v>0.077</v>
      </c>
      <c r="D450" s="79">
        <v>700.3</v>
      </c>
      <c r="E450" s="80">
        <v>28</v>
      </c>
    </row>
    <row r="451" ht="15.6" spans="2:5">
      <c r="B451" s="64">
        <v>45691</v>
      </c>
      <c r="C451" s="78">
        <v>0.0773</v>
      </c>
      <c r="D451" s="79">
        <v>658.2</v>
      </c>
      <c r="E451" s="80">
        <v>24</v>
      </c>
    </row>
    <row r="452" ht="15.6" spans="2:5">
      <c r="B452" s="64">
        <v>45692</v>
      </c>
      <c r="C452" s="78">
        <v>0.076</v>
      </c>
      <c r="D452" s="79">
        <v>703.6</v>
      </c>
      <c r="E452" s="80">
        <v>26</v>
      </c>
    </row>
    <row r="453" ht="15.6" spans="2:5">
      <c r="B453" s="64">
        <v>45693</v>
      </c>
      <c r="C453" s="78">
        <v>0.0755</v>
      </c>
      <c r="D453" s="79">
        <v>638.1</v>
      </c>
      <c r="E453" s="80">
        <v>22</v>
      </c>
    </row>
    <row r="454" ht="15.6" spans="2:5">
      <c r="B454" s="64">
        <v>45694</v>
      </c>
      <c r="C454" s="78">
        <v>0.0756</v>
      </c>
      <c r="D454" s="79">
        <v>685.5</v>
      </c>
      <c r="E454" s="80">
        <v>33</v>
      </c>
    </row>
    <row r="455" ht="15.6" spans="2:5">
      <c r="B455" s="64">
        <v>45695</v>
      </c>
      <c r="C455" s="78">
        <v>0.0758</v>
      </c>
      <c r="D455" s="79">
        <v>633</v>
      </c>
      <c r="E455" s="80">
        <v>29</v>
      </c>
    </row>
    <row r="456" ht="15.6" spans="2:5">
      <c r="B456" s="64">
        <v>45698</v>
      </c>
      <c r="C456" s="78">
        <v>0.0757</v>
      </c>
      <c r="D456" s="79">
        <v>688.2</v>
      </c>
      <c r="E456" s="80">
        <v>31</v>
      </c>
    </row>
    <row r="457" ht="15.6" spans="2:5">
      <c r="B457" s="64">
        <v>45699</v>
      </c>
      <c r="C457" s="78">
        <v>0.0757</v>
      </c>
      <c r="D457" s="79">
        <v>615.5</v>
      </c>
      <c r="E457" s="80">
        <v>25</v>
      </c>
    </row>
    <row r="458" ht="15.6" spans="2:5">
      <c r="B458" s="64">
        <v>45700</v>
      </c>
      <c r="C458" s="78">
        <v>0.0755</v>
      </c>
      <c r="D458" s="79">
        <v>438.4</v>
      </c>
      <c r="E458" s="80">
        <v>22</v>
      </c>
    </row>
    <row r="459" ht="15.6" spans="2:5">
      <c r="B459" s="64">
        <v>45701</v>
      </c>
      <c r="C459" s="78">
        <v>0.0722</v>
      </c>
      <c r="D459" s="79">
        <v>403.1</v>
      </c>
      <c r="E459" s="80">
        <v>25</v>
      </c>
    </row>
    <row r="460" ht="15.6" spans="2:5">
      <c r="B460" s="64">
        <v>45702</v>
      </c>
      <c r="C460" s="78">
        <v>0.0709</v>
      </c>
      <c r="D460" s="79">
        <v>360.7</v>
      </c>
      <c r="E460" s="80">
        <v>27</v>
      </c>
    </row>
    <row r="461" ht="15.6" spans="2:5">
      <c r="B461" s="64">
        <v>45705</v>
      </c>
      <c r="C461" s="78">
        <v>0.0739</v>
      </c>
      <c r="D461" s="79">
        <v>490.4</v>
      </c>
      <c r="E461" s="80">
        <v>23</v>
      </c>
    </row>
    <row r="462" ht="15.6" spans="2:5">
      <c r="B462" s="64">
        <v>45706</v>
      </c>
      <c r="C462" s="78">
        <v>0.0745</v>
      </c>
      <c r="D462" s="79">
        <v>525.2</v>
      </c>
      <c r="E462" s="80">
        <v>26</v>
      </c>
    </row>
    <row r="463" ht="15.6" spans="2:5">
      <c r="B463" s="64">
        <v>45707</v>
      </c>
      <c r="C463" s="78">
        <v>0.0749</v>
      </c>
      <c r="D463" s="79">
        <v>516.3</v>
      </c>
      <c r="E463" s="80">
        <v>25</v>
      </c>
    </row>
    <row r="464" ht="15.6" spans="2:5">
      <c r="B464" s="64">
        <v>45708</v>
      </c>
      <c r="C464" s="78">
        <v>0.0752</v>
      </c>
      <c r="D464" s="79">
        <v>567.5</v>
      </c>
      <c r="E464" s="80">
        <v>32</v>
      </c>
    </row>
    <row r="465" ht="15.6" spans="2:5">
      <c r="B465" s="64">
        <v>45709</v>
      </c>
      <c r="C465" s="78">
        <v>0.0749</v>
      </c>
      <c r="D465" s="79">
        <v>450</v>
      </c>
      <c r="E465" s="80">
        <v>36</v>
      </c>
    </row>
    <row r="466" ht="15.6" spans="2:5">
      <c r="B466" s="64">
        <v>45712</v>
      </c>
      <c r="C466" s="78">
        <v>0.0753</v>
      </c>
      <c r="D466" s="79">
        <v>331</v>
      </c>
      <c r="E466" s="80">
        <v>26</v>
      </c>
    </row>
    <row r="467" ht="15.6" spans="2:5">
      <c r="B467" s="64">
        <v>45713</v>
      </c>
      <c r="C467" s="78">
        <v>0.0737</v>
      </c>
      <c r="D467" s="79">
        <v>326</v>
      </c>
      <c r="E467" s="80">
        <v>23</v>
      </c>
    </row>
    <row r="468" ht="15.6" spans="2:5">
      <c r="B468" s="64">
        <v>45714</v>
      </c>
      <c r="C468" s="78">
        <v>0.0721</v>
      </c>
      <c r="D468" s="79">
        <v>299</v>
      </c>
      <c r="E468" s="80">
        <v>18</v>
      </c>
    </row>
    <row r="469" ht="15.6" spans="2:5">
      <c r="B469" s="64">
        <v>45715</v>
      </c>
      <c r="C469" s="78">
        <v>0.072</v>
      </c>
      <c r="D469" s="79">
        <v>289</v>
      </c>
      <c r="E469" s="80">
        <v>17</v>
      </c>
    </row>
    <row r="470" ht="15.6" spans="2:5">
      <c r="B470" s="64">
        <v>45716</v>
      </c>
      <c r="C470" s="78">
        <v>0.0718</v>
      </c>
      <c r="D470" s="79">
        <v>274</v>
      </c>
      <c r="E470" s="80">
        <v>17</v>
      </c>
    </row>
    <row r="471" ht="15.6" spans="2:5">
      <c r="B471" s="64">
        <v>45719</v>
      </c>
      <c r="C471" s="78">
        <v>0.0711</v>
      </c>
      <c r="D471" s="79">
        <v>252</v>
      </c>
      <c r="E471" s="80">
        <v>18</v>
      </c>
    </row>
    <row r="472" ht="15.6" spans="2:5">
      <c r="B472" s="64">
        <v>45720</v>
      </c>
      <c r="C472" s="78">
        <v>0.0696</v>
      </c>
      <c r="D472" s="79">
        <v>345</v>
      </c>
      <c r="E472" s="80">
        <v>23</v>
      </c>
    </row>
    <row r="473" ht="15.6" spans="2:5">
      <c r="B473" s="64">
        <v>45721</v>
      </c>
      <c r="C473" s="78">
        <v>0.0691</v>
      </c>
      <c r="D473" s="79">
        <v>291</v>
      </c>
      <c r="E473" s="80">
        <v>19</v>
      </c>
    </row>
    <row r="474" ht="15.6" spans="2:5">
      <c r="B474" s="64">
        <v>45722</v>
      </c>
      <c r="C474" s="78">
        <v>0.0682</v>
      </c>
      <c r="D474" s="79">
        <v>292</v>
      </c>
      <c r="E474" s="80">
        <v>20</v>
      </c>
    </row>
    <row r="475" ht="15.6" spans="2:5">
      <c r="B475" s="64">
        <v>45723</v>
      </c>
      <c r="C475" s="78">
        <v>0.0674</v>
      </c>
      <c r="D475" s="79">
        <v>271</v>
      </c>
      <c r="E475" s="80">
        <v>20</v>
      </c>
    </row>
    <row r="476" ht="15.6" spans="2:5">
      <c r="B476" s="64">
        <v>45726</v>
      </c>
      <c r="C476" s="78">
        <v>0.067</v>
      </c>
      <c r="D476" s="79">
        <v>301</v>
      </c>
      <c r="E476" s="80">
        <v>20</v>
      </c>
    </row>
    <row r="477" ht="15.6" spans="2:5">
      <c r="B477" s="64">
        <v>45727</v>
      </c>
      <c r="C477" s="78">
        <v>0.0662</v>
      </c>
      <c r="D477" s="79">
        <v>376</v>
      </c>
      <c r="E477" s="80">
        <v>21</v>
      </c>
    </row>
    <row r="478" ht="15.6" spans="2:5">
      <c r="B478" s="64">
        <v>45728</v>
      </c>
      <c r="C478" s="78">
        <v>0.0665</v>
      </c>
      <c r="D478" s="79">
        <v>561</v>
      </c>
      <c r="E478" s="80">
        <v>26</v>
      </c>
    </row>
    <row r="479" ht="15.6" spans="2:5">
      <c r="B479" s="64">
        <v>45729</v>
      </c>
      <c r="C479" s="78">
        <v>0.0664</v>
      </c>
      <c r="D479" s="79">
        <v>492</v>
      </c>
      <c r="E479" s="80">
        <v>24</v>
      </c>
    </row>
    <row r="480" ht="15.6" spans="2:5">
      <c r="B480" s="64">
        <v>45730</v>
      </c>
      <c r="C480" s="78">
        <v>0.0674</v>
      </c>
      <c r="D480" s="79">
        <v>402</v>
      </c>
      <c r="E480" s="80">
        <v>26</v>
      </c>
    </row>
    <row r="481" ht="15.6" spans="2:5">
      <c r="B481" s="64">
        <v>45733</v>
      </c>
      <c r="C481" s="78">
        <v>0.0695</v>
      </c>
      <c r="D481" s="79">
        <v>669.6</v>
      </c>
      <c r="E481" s="80">
        <v>34</v>
      </c>
    </row>
    <row r="482" ht="15.6" spans="2:5">
      <c r="B482" s="64">
        <v>45734</v>
      </c>
      <c r="C482" s="78">
        <v>0.0736</v>
      </c>
      <c r="D482" s="79">
        <v>621.4</v>
      </c>
      <c r="E482" s="80">
        <v>34</v>
      </c>
    </row>
    <row r="483" ht="15.6" spans="2:5">
      <c r="B483" s="64">
        <v>45735</v>
      </c>
      <c r="C483" s="78">
        <v>0.0736</v>
      </c>
      <c r="D483" s="79"/>
      <c r="E483" s="80"/>
    </row>
    <row r="484" ht="15.6" spans="2:5">
      <c r="B484" s="64">
        <v>45748</v>
      </c>
      <c r="C484" s="78">
        <v>0.0757</v>
      </c>
      <c r="D484" s="79">
        <v>537.7</v>
      </c>
      <c r="E484" s="80">
        <v>41</v>
      </c>
    </row>
    <row r="485" ht="15.6" spans="2:5">
      <c r="B485" s="64">
        <v>45749</v>
      </c>
      <c r="C485" s="78">
        <v>0.0765</v>
      </c>
      <c r="D485" s="79">
        <v>774</v>
      </c>
      <c r="E485" s="80">
        <v>34</v>
      </c>
    </row>
    <row r="486" ht="15.6" spans="2:5">
      <c r="B486" s="64">
        <v>45750</v>
      </c>
      <c r="C486" s="78">
        <v>0.0764</v>
      </c>
      <c r="D486" s="79">
        <v>776.5</v>
      </c>
      <c r="E486" s="80">
        <v>33</v>
      </c>
    </row>
    <row r="487" ht="15.6" spans="2:5">
      <c r="B487" s="64">
        <v>45751</v>
      </c>
      <c r="C487" s="78">
        <v>0.0763</v>
      </c>
      <c r="D487" s="79">
        <v>822.3</v>
      </c>
      <c r="E487" s="80">
        <v>27</v>
      </c>
    </row>
    <row r="488" ht="15.6" spans="2:5">
      <c r="B488" s="64">
        <v>45754</v>
      </c>
      <c r="C488" s="78">
        <v>0.0768</v>
      </c>
      <c r="D488" s="79">
        <v>780</v>
      </c>
      <c r="E488" s="80">
        <v>25</v>
      </c>
    </row>
    <row r="489" ht="15.6" spans="2:5">
      <c r="B489" s="64">
        <v>45755</v>
      </c>
      <c r="C489" s="78">
        <v>0.0771</v>
      </c>
      <c r="D489" s="79">
        <v>909.5</v>
      </c>
      <c r="E489" s="80">
        <v>29</v>
      </c>
    </row>
    <row r="490" ht="15.6" spans="2:5">
      <c r="B490" s="64">
        <v>45756</v>
      </c>
      <c r="C490" s="78">
        <v>0.0773</v>
      </c>
      <c r="D490" s="79">
        <v>949.7</v>
      </c>
      <c r="E490" s="80">
        <v>35</v>
      </c>
    </row>
    <row r="491" ht="15.6" spans="2:5">
      <c r="B491" s="64">
        <v>45757</v>
      </c>
      <c r="C491" s="78">
        <v>0.0779</v>
      </c>
      <c r="D491" s="79">
        <v>988.9</v>
      </c>
      <c r="E491" s="80">
        <v>35</v>
      </c>
    </row>
    <row r="492" ht="15.6" spans="2:5">
      <c r="B492" s="64">
        <v>45758</v>
      </c>
      <c r="C492" s="78">
        <v>0.0762</v>
      </c>
      <c r="D492" s="79">
        <v>925.8</v>
      </c>
      <c r="E492" s="80">
        <v>27</v>
      </c>
    </row>
    <row r="493" ht="15.6" spans="2:5">
      <c r="B493" s="64">
        <v>45761</v>
      </c>
      <c r="C493" s="78">
        <v>0.0711</v>
      </c>
      <c r="D493" s="79">
        <v>267</v>
      </c>
      <c r="E493" s="80">
        <v>7</v>
      </c>
    </row>
    <row r="494" ht="15.6" spans="2:5">
      <c r="B494" s="64">
        <v>45762</v>
      </c>
      <c r="C494" s="78">
        <v>0.0709</v>
      </c>
      <c r="D494" s="79">
        <v>729.3</v>
      </c>
      <c r="E494" s="80">
        <v>21</v>
      </c>
    </row>
    <row r="495" ht="15.6" spans="2:5">
      <c r="B495" s="64">
        <v>45763</v>
      </c>
      <c r="C495" s="78">
        <v>0.071</v>
      </c>
      <c r="D495" s="79">
        <v>925.8</v>
      </c>
      <c r="E495" s="80">
        <v>23</v>
      </c>
    </row>
    <row r="496" ht="15.6" spans="2:5">
      <c r="B496" s="64">
        <v>45764</v>
      </c>
      <c r="C496" s="78">
        <v>0.0713</v>
      </c>
      <c r="D496" s="79">
        <v>817.4</v>
      </c>
      <c r="E496" s="80">
        <v>26</v>
      </c>
    </row>
    <row r="497" ht="15.6" spans="2:5">
      <c r="B497" s="64">
        <v>45765</v>
      </c>
      <c r="C497" s="78">
        <v>0.0721</v>
      </c>
      <c r="D497" s="79">
        <v>643.5</v>
      </c>
      <c r="E497" s="80">
        <v>22</v>
      </c>
    </row>
    <row r="498" ht="15.6" spans="2:5">
      <c r="B498" s="64">
        <v>45768</v>
      </c>
      <c r="C498" s="78">
        <v>0.0721</v>
      </c>
      <c r="D498" s="79">
        <v>579.85</v>
      </c>
      <c r="E498" s="80">
        <v>21</v>
      </c>
    </row>
    <row r="499" ht="15.6" spans="2:5">
      <c r="B499" s="64">
        <v>45769</v>
      </c>
      <c r="C499" s="78">
        <v>0.0723</v>
      </c>
      <c r="D499" s="79">
        <v>695.1</v>
      </c>
      <c r="E499" s="80">
        <v>25</v>
      </c>
    </row>
    <row r="500" ht="15.6" spans="2:5">
      <c r="B500" s="64">
        <v>45770</v>
      </c>
      <c r="C500" s="78">
        <v>0.0721</v>
      </c>
      <c r="D500" s="79">
        <v>584.1</v>
      </c>
      <c r="E500" s="80">
        <v>25</v>
      </c>
    </row>
    <row r="501" ht="15.6" spans="2:5">
      <c r="B501" s="64">
        <v>45771</v>
      </c>
      <c r="C501" s="78">
        <v>0.0705</v>
      </c>
      <c r="D501" s="79">
        <v>299.5</v>
      </c>
      <c r="E501" s="80">
        <v>21</v>
      </c>
    </row>
    <row r="502" ht="15.6" spans="2:5">
      <c r="B502" s="64">
        <v>45772</v>
      </c>
      <c r="C502" s="78">
        <v>0.0692</v>
      </c>
      <c r="D502" s="79">
        <v>318.3</v>
      </c>
      <c r="E502" s="80">
        <v>20</v>
      </c>
    </row>
    <row r="503" ht="15.6" spans="2:5">
      <c r="B503" s="64">
        <v>45775</v>
      </c>
      <c r="C503" s="78">
        <v>0.069</v>
      </c>
      <c r="D503" s="79">
        <v>310.7</v>
      </c>
      <c r="E503" s="80">
        <v>19</v>
      </c>
    </row>
    <row r="504" ht="15.6" spans="2:5">
      <c r="B504" s="64">
        <v>45776</v>
      </c>
      <c r="C504" s="78">
        <v>0.0689</v>
      </c>
      <c r="D504" s="79">
        <v>272</v>
      </c>
      <c r="E504" s="80">
        <v>18</v>
      </c>
    </row>
    <row r="505" ht="15.6" spans="2:5">
      <c r="B505" s="64">
        <v>45777</v>
      </c>
      <c r="C505" s="78">
        <v>0.0677</v>
      </c>
      <c r="D505" s="79">
        <v>283</v>
      </c>
      <c r="E505" s="80">
        <v>16</v>
      </c>
    </row>
    <row r="506" ht="15.6" spans="2:5">
      <c r="B506" s="64">
        <v>45778</v>
      </c>
      <c r="C506" s="78">
        <v>0.0666</v>
      </c>
      <c r="D506" s="79">
        <v>314</v>
      </c>
      <c r="E506" s="80">
        <v>19</v>
      </c>
    </row>
    <row r="507" ht="15.6" spans="2:5">
      <c r="B507" s="64">
        <v>45779</v>
      </c>
      <c r="C507" s="78">
        <v>0.0669</v>
      </c>
      <c r="D507" s="79">
        <v>229.5</v>
      </c>
      <c r="E507" s="80">
        <v>14</v>
      </c>
    </row>
    <row r="508" ht="15.6" spans="2:5">
      <c r="B508" s="64">
        <v>45782</v>
      </c>
      <c r="C508" s="78">
        <v>0.068</v>
      </c>
      <c r="D508" s="79">
        <v>194.5</v>
      </c>
      <c r="E508" s="80">
        <v>19</v>
      </c>
    </row>
    <row r="509" ht="15.6" spans="2:5">
      <c r="B509" s="64">
        <v>45783</v>
      </c>
      <c r="C509" s="78">
        <v>0.0692</v>
      </c>
      <c r="D509" s="79">
        <v>180</v>
      </c>
      <c r="E509" s="80">
        <v>17</v>
      </c>
    </row>
    <row r="510" ht="15.6" spans="2:5">
      <c r="B510" s="64">
        <v>45784</v>
      </c>
      <c r="C510" s="78">
        <v>0.0697</v>
      </c>
      <c r="D510" s="79">
        <v>133</v>
      </c>
      <c r="E510" s="80">
        <v>14</v>
      </c>
    </row>
    <row r="511" ht="15.6" spans="2:5">
      <c r="B511" s="64">
        <v>45785</v>
      </c>
      <c r="C511" s="78">
        <v>0.0697</v>
      </c>
      <c r="D511" s="79"/>
      <c r="E511" s="80"/>
    </row>
    <row r="512" ht="15.6" spans="2:5">
      <c r="B512" s="64">
        <v>45789</v>
      </c>
      <c r="C512" s="78">
        <v>0.0697</v>
      </c>
      <c r="D512" s="79">
        <v>70</v>
      </c>
      <c r="E512" s="80">
        <v>7</v>
      </c>
    </row>
    <row r="513" ht="15.6" spans="2:5">
      <c r="B513" s="64">
        <v>45790</v>
      </c>
      <c r="C513" s="78">
        <v>0.0692</v>
      </c>
      <c r="D513" s="79">
        <v>83</v>
      </c>
      <c r="E513" s="80">
        <v>9</v>
      </c>
    </row>
    <row r="514" ht="15.6" spans="2:5">
      <c r="B514" s="64">
        <v>45791</v>
      </c>
      <c r="C514" s="78">
        <v>0.067445</v>
      </c>
      <c r="D514" s="79">
        <v>57</v>
      </c>
      <c r="E514" s="80">
        <v>7</v>
      </c>
    </row>
    <row r="515" ht="15.6" spans="2:5">
      <c r="B515" s="64">
        <v>45792</v>
      </c>
      <c r="C515" s="78">
        <v>0.067237</v>
      </c>
      <c r="D515" s="79">
        <v>67</v>
      </c>
      <c r="E515" s="80">
        <v>8</v>
      </c>
    </row>
    <row r="516" ht="15.6" spans="2:5">
      <c r="B516" s="64">
        <v>45793</v>
      </c>
      <c r="C516" s="78">
        <v>0.067237</v>
      </c>
      <c r="D516" s="79">
        <v>67</v>
      </c>
      <c r="E516" s="80">
        <v>10</v>
      </c>
    </row>
    <row r="517" ht="15.6" spans="2:5">
      <c r="B517" s="64">
        <v>45796</v>
      </c>
      <c r="C517" s="78">
        <v>0.067145</v>
      </c>
      <c r="D517" s="79">
        <v>62</v>
      </c>
      <c r="E517" s="80">
        <v>9</v>
      </c>
    </row>
    <row r="518" ht="15.6" spans="2:5">
      <c r="B518" s="64">
        <v>45797</v>
      </c>
      <c r="C518" s="78">
        <v>0.067691</v>
      </c>
      <c r="D518" s="79">
        <v>47</v>
      </c>
      <c r="E518" s="80">
        <v>7</v>
      </c>
    </row>
    <row r="519" ht="15.6" spans="2:5">
      <c r="B519" s="64">
        <v>45798</v>
      </c>
      <c r="C519" s="78">
        <v>0.06555</v>
      </c>
      <c r="D519" s="79">
        <v>209.5</v>
      </c>
      <c r="E519" s="80">
        <v>16</v>
      </c>
    </row>
    <row r="520" ht="15.6" spans="2:5">
      <c r="B520" s="64">
        <v>45799</v>
      </c>
      <c r="C520" s="78">
        <v>0.06763</v>
      </c>
      <c r="D520" s="79">
        <v>52</v>
      </c>
      <c r="E520" s="80">
        <v>7</v>
      </c>
    </row>
    <row r="521" ht="15.6" spans="2:5">
      <c r="B521" s="64">
        <v>45800</v>
      </c>
      <c r="C521" s="78">
        <v>0.067649</v>
      </c>
      <c r="D521" s="79">
        <v>62</v>
      </c>
      <c r="E521" s="80">
        <v>9</v>
      </c>
    </row>
    <row r="522" ht="15.6" spans="2:5">
      <c r="B522" s="64">
        <v>45803</v>
      </c>
      <c r="C522" s="78">
        <v>0.067093</v>
      </c>
      <c r="D522" s="79">
        <v>59.5</v>
      </c>
      <c r="E522" s="80">
        <v>8</v>
      </c>
    </row>
    <row r="523" ht="15.6" spans="2:5">
      <c r="B523" s="64">
        <v>45804</v>
      </c>
      <c r="C523" s="78">
        <v>0.067021</v>
      </c>
      <c r="D523" s="79">
        <v>43.4</v>
      </c>
      <c r="E523" s="80">
        <v>8</v>
      </c>
    </row>
    <row r="524" ht="15.6" spans="2:5">
      <c r="B524" s="64">
        <v>45806</v>
      </c>
      <c r="C524" s="78">
        <v>0.066233</v>
      </c>
      <c r="D524" s="79">
        <v>82</v>
      </c>
      <c r="E524" s="80">
        <v>9</v>
      </c>
    </row>
    <row r="525" ht="15.6" spans="2:5">
      <c r="B525" s="64">
        <v>45807</v>
      </c>
      <c r="C525" s="78">
        <v>0.066</v>
      </c>
      <c r="D525" s="79">
        <v>75</v>
      </c>
      <c r="E525" s="80">
        <v>8</v>
      </c>
    </row>
    <row r="526" ht="15.6" spans="2:5">
      <c r="B526" s="64">
        <v>45810</v>
      </c>
      <c r="C526" s="78">
        <v>0.065925</v>
      </c>
      <c r="D526" s="79">
        <v>75</v>
      </c>
      <c r="E526" s="80">
        <v>8</v>
      </c>
    </row>
    <row r="527" ht="15.6" spans="2:5">
      <c r="B527" s="64">
        <v>45811</v>
      </c>
      <c r="C527" s="78">
        <v>0.066</v>
      </c>
      <c r="D527" s="79">
        <v>78</v>
      </c>
      <c r="E527" s="80">
        <v>8</v>
      </c>
    </row>
    <row r="528" ht="15.6" spans="2:5">
      <c r="B528" s="64">
        <v>45812</v>
      </c>
      <c r="C528" s="78">
        <v>0.066</v>
      </c>
      <c r="D528" s="79">
        <v>112</v>
      </c>
      <c r="E528" s="80">
        <v>12</v>
      </c>
    </row>
    <row r="529" ht="15.6" spans="2:5">
      <c r="B529" s="64">
        <v>45813</v>
      </c>
      <c r="C529" s="78">
        <v>0.065793</v>
      </c>
      <c r="D529" s="79">
        <v>111</v>
      </c>
      <c r="E529" s="80">
        <v>12</v>
      </c>
    </row>
    <row r="530" ht="15.6" spans="2:5">
      <c r="B530" s="64">
        <v>45818</v>
      </c>
      <c r="C530" s="78">
        <v>0.07045</v>
      </c>
      <c r="D530" s="79">
        <v>59</v>
      </c>
      <c r="E530" s="80">
        <v>5</v>
      </c>
    </row>
    <row r="531" ht="15.6" spans="2:5">
      <c r="B531" s="64">
        <v>45819</v>
      </c>
      <c r="C531" s="78">
        <v>0.070459</v>
      </c>
      <c r="D531" s="79">
        <v>84</v>
      </c>
      <c r="E531" s="80">
        <v>7</v>
      </c>
    </row>
    <row r="532" ht="15.6" spans="2:5">
      <c r="B532" s="64">
        <v>45820</v>
      </c>
      <c r="C532" s="78">
        <v>0.071255</v>
      </c>
      <c r="D532" s="79">
        <v>210</v>
      </c>
      <c r="E532" s="80">
        <v>14</v>
      </c>
    </row>
    <row r="533" ht="15.6" spans="2:5">
      <c r="B533" s="64">
        <v>45821</v>
      </c>
      <c r="C533" s="78">
        <v>0.071493</v>
      </c>
      <c r="D533" s="79">
        <v>166</v>
      </c>
      <c r="E533" s="80">
        <v>12</v>
      </c>
    </row>
    <row r="534" ht="15.6" spans="2:5">
      <c r="B534" s="64">
        <v>45825</v>
      </c>
      <c r="C534" s="78">
        <v>0.070965</v>
      </c>
      <c r="D534" s="79">
        <v>170</v>
      </c>
      <c r="E534" s="80">
        <v>16</v>
      </c>
    </row>
    <row r="535" ht="15.6" spans="2:5">
      <c r="B535" s="64">
        <v>45826</v>
      </c>
      <c r="C535" s="78">
        <v>0.071561</v>
      </c>
      <c r="D535" s="79">
        <v>165</v>
      </c>
      <c r="E535" s="80">
        <v>16</v>
      </c>
    </row>
    <row r="536" ht="15.6" spans="2:5">
      <c r="B536" s="64">
        <v>45827</v>
      </c>
      <c r="C536" s="78">
        <v>0.071</v>
      </c>
      <c r="D536" s="79">
        <v>75</v>
      </c>
      <c r="E536" s="80">
        <v>9</v>
      </c>
    </row>
    <row r="537" ht="15.6" spans="2:5">
      <c r="B537" s="64">
        <v>45828</v>
      </c>
      <c r="C537" s="78">
        <v>0.071403</v>
      </c>
      <c r="D537" s="79">
        <v>122</v>
      </c>
      <c r="E537" s="80">
        <v>10</v>
      </c>
    </row>
    <row r="538" ht="15.6" spans="2:5">
      <c r="B538" s="64">
        <v>45829</v>
      </c>
      <c r="C538" s="78">
        <v>0.070977</v>
      </c>
      <c r="D538" s="79">
        <v>110</v>
      </c>
      <c r="E538" s="80">
        <v>13</v>
      </c>
    </row>
    <row r="539" ht="15.6" spans="2:5">
      <c r="B539" s="64">
        <v>45831</v>
      </c>
      <c r="C539" s="78">
        <v>0.071211</v>
      </c>
      <c r="D539" s="79">
        <v>105</v>
      </c>
      <c r="E539" s="80">
        <v>11</v>
      </c>
    </row>
    <row r="540" ht="15.6" spans="2:5">
      <c r="B540" s="64">
        <v>45832</v>
      </c>
      <c r="C540" s="78">
        <v>0.071428</v>
      </c>
      <c r="D540" s="79">
        <v>97</v>
      </c>
      <c r="E540" s="80">
        <v>9</v>
      </c>
    </row>
    <row r="541" ht="15.6" spans="2:5">
      <c r="B541" s="64">
        <v>45833</v>
      </c>
      <c r="C541" s="78">
        <v>0.071482</v>
      </c>
      <c r="D541" s="79">
        <v>105</v>
      </c>
      <c r="E541" s="80">
        <v>11</v>
      </c>
    </row>
    <row r="542" ht="15.6" spans="2:5">
      <c r="B542" s="64">
        <v>45838</v>
      </c>
      <c r="C542" s="78">
        <v>0.071466</v>
      </c>
      <c r="D542" s="79">
        <v>191</v>
      </c>
      <c r="E542" s="80">
        <v>18</v>
      </c>
    </row>
    <row r="543" ht="15.6" spans="2:5">
      <c r="B543" s="64">
        <v>45839</v>
      </c>
      <c r="C543" s="78">
        <v>0.071</v>
      </c>
      <c r="D543" s="79">
        <v>73</v>
      </c>
      <c r="E543" s="80">
        <v>7</v>
      </c>
    </row>
    <row r="544" ht="15.6" spans="2:7">
      <c r="B544" s="64">
        <v>45840</v>
      </c>
      <c r="C544" s="78">
        <v>0.071</v>
      </c>
      <c r="D544" s="79">
        <v>80</v>
      </c>
      <c r="E544" s="80">
        <v>6</v>
      </c>
      <c r="G544" s="63"/>
    </row>
    <row r="545" ht="15.6" spans="2:5">
      <c r="B545" s="64">
        <v>45841</v>
      </c>
      <c r="C545" s="78">
        <v>0.071</v>
      </c>
      <c r="D545" s="79">
        <v>95</v>
      </c>
      <c r="E545" s="80">
        <v>6</v>
      </c>
    </row>
    <row r="546" ht="15.6" spans="2:5">
      <c r="B546" s="64">
        <v>45842</v>
      </c>
      <c r="C546" s="78">
        <v>0.071</v>
      </c>
      <c r="D546" s="79">
        <v>65</v>
      </c>
      <c r="E546" s="80">
        <v>5</v>
      </c>
    </row>
    <row r="547" ht="15.6" spans="2:5">
      <c r="B547" s="64">
        <v>45845</v>
      </c>
      <c r="C547" s="78">
        <v>0.071222</v>
      </c>
      <c r="D547" s="79">
        <v>90</v>
      </c>
      <c r="E547" s="80">
        <v>6</v>
      </c>
    </row>
    <row r="548" ht="15.6" spans="2:5">
      <c r="B548" s="64">
        <v>45846</v>
      </c>
      <c r="C548" s="78">
        <v>0.071033</v>
      </c>
      <c r="D548" s="79">
        <v>85</v>
      </c>
      <c r="E548" s="80">
        <v>7</v>
      </c>
    </row>
    <row r="549" ht="15.6" spans="2:5">
      <c r="B549" s="64">
        <v>45847</v>
      </c>
      <c r="C549" s="78">
        <v>0.071</v>
      </c>
      <c r="D549" s="79">
        <v>95</v>
      </c>
      <c r="E549" s="80">
        <v>7</v>
      </c>
    </row>
    <row r="550" ht="15.6" spans="2:5">
      <c r="B550" s="64">
        <v>45848</v>
      </c>
      <c r="C550" s="78">
        <v>0.070757</v>
      </c>
      <c r="D550" s="79">
        <v>95</v>
      </c>
      <c r="E550" s="80">
        <v>8</v>
      </c>
    </row>
    <row r="551" ht="15.6" spans="2:5">
      <c r="B551" s="64">
        <v>45849</v>
      </c>
      <c r="C551" s="78">
        <v>0.070891</v>
      </c>
      <c r="D551" s="79">
        <v>123</v>
      </c>
      <c r="E551" s="80">
        <v>9</v>
      </c>
    </row>
    <row r="552" ht="15.6" spans="2:5">
      <c r="B552" s="64">
        <v>45852</v>
      </c>
      <c r="C552" s="78">
        <v>0.072232</v>
      </c>
      <c r="D552" s="79">
        <v>441.1</v>
      </c>
      <c r="E552" s="80">
        <v>20</v>
      </c>
    </row>
    <row r="553" ht="15.6" spans="2:5">
      <c r="B553" s="64">
        <v>45853</v>
      </c>
      <c r="C553" s="78">
        <v>0.071822</v>
      </c>
      <c r="D553" s="79">
        <v>65</v>
      </c>
      <c r="E553" s="80">
        <v>6</v>
      </c>
    </row>
    <row r="554" ht="15.6" spans="2:5">
      <c r="B554" s="64">
        <v>45854</v>
      </c>
      <c r="C554" s="78">
        <v>0.071854</v>
      </c>
      <c r="D554" s="79">
        <v>75</v>
      </c>
      <c r="E554" s="80">
        <v>7</v>
      </c>
    </row>
    <row r="555" ht="15.6" spans="2:5">
      <c r="B555" s="64">
        <v>45855</v>
      </c>
      <c r="C555" s="78">
        <v>0.071799</v>
      </c>
      <c r="D555" s="79">
        <v>95</v>
      </c>
      <c r="E555" s="80">
        <v>9</v>
      </c>
    </row>
    <row r="556" ht="15.6" spans="2:5">
      <c r="B556" s="64">
        <v>45856</v>
      </c>
      <c r="C556" s="78">
        <v>0.071842</v>
      </c>
      <c r="D556" s="79">
        <v>85</v>
      </c>
      <c r="E556" s="80">
        <v>8</v>
      </c>
    </row>
    <row r="557" ht="15.6" spans="2:5">
      <c r="B557" s="64">
        <v>45859</v>
      </c>
      <c r="C557" s="78">
        <v>0.071865</v>
      </c>
      <c r="D557" s="79">
        <v>95</v>
      </c>
      <c r="E557" s="80">
        <v>9</v>
      </c>
    </row>
    <row r="558" ht="15.6" spans="2:5">
      <c r="B558" s="64">
        <v>45860</v>
      </c>
      <c r="C558" s="78">
        <v>0.071642</v>
      </c>
      <c r="D558" s="79">
        <v>98</v>
      </c>
      <c r="E558" s="80">
        <v>10</v>
      </c>
    </row>
    <row r="559" ht="15.6" spans="2:5">
      <c r="B559" s="64">
        <v>45861</v>
      </c>
      <c r="C559" s="78">
        <v>0.072283</v>
      </c>
      <c r="D559" s="79">
        <v>103</v>
      </c>
      <c r="E559" s="80">
        <v>11</v>
      </c>
    </row>
    <row r="560" ht="15.6" spans="2:5">
      <c r="B560" s="64">
        <v>45862</v>
      </c>
      <c r="C560" s="78">
        <v>0.071722</v>
      </c>
      <c r="D560" s="79">
        <v>90</v>
      </c>
      <c r="E560" s="80">
        <v>8</v>
      </c>
    </row>
    <row r="561" ht="15.6" spans="2:5">
      <c r="B561" s="64">
        <v>45863</v>
      </c>
      <c r="C561" s="78">
        <v>0.071305</v>
      </c>
      <c r="D561" s="79">
        <v>80</v>
      </c>
      <c r="E561" s="80">
        <v>7</v>
      </c>
    </row>
    <row r="562" ht="15.6" spans="2:5">
      <c r="B562" s="64">
        <v>45866</v>
      </c>
      <c r="C562" s="78">
        <v>0.071169</v>
      </c>
      <c r="D562" s="79">
        <v>85</v>
      </c>
      <c r="E562" s="80">
        <v>7</v>
      </c>
    </row>
    <row r="563" ht="15.6" spans="2:5">
      <c r="B563" s="64">
        <v>45867</v>
      </c>
      <c r="C563" s="78">
        <v>0.071085</v>
      </c>
      <c r="D563" s="79">
        <v>85</v>
      </c>
      <c r="E563" s="80">
        <v>7</v>
      </c>
    </row>
    <row r="564" ht="15.6" spans="2:5">
      <c r="B564" s="64">
        <v>45868</v>
      </c>
      <c r="C564" s="78">
        <v>0.071089</v>
      </c>
      <c r="D564" s="79">
        <v>105</v>
      </c>
      <c r="E564" s="80">
        <v>8</v>
      </c>
    </row>
    <row r="565" ht="15.6" spans="2:5">
      <c r="B565" s="64">
        <v>45869</v>
      </c>
      <c r="C565" s="78">
        <v>0.070874</v>
      </c>
      <c r="D565" s="79">
        <v>134.5</v>
      </c>
      <c r="E565" s="80">
        <v>11</v>
      </c>
    </row>
    <row r="566" ht="15.6" spans="2:5">
      <c r="B566" s="64">
        <v>45870</v>
      </c>
      <c r="C566" s="78">
        <v>0.071056</v>
      </c>
      <c r="D566" s="79">
        <v>112.5</v>
      </c>
      <c r="E566" s="80">
        <v>11</v>
      </c>
    </row>
    <row r="567" ht="15.6" spans="2:5">
      <c r="B567" s="64">
        <v>45873</v>
      </c>
      <c r="C567" s="78">
        <v>0.070786</v>
      </c>
      <c r="D567" s="79">
        <v>120</v>
      </c>
      <c r="E567" s="80">
        <v>11</v>
      </c>
    </row>
    <row r="568" ht="15.6" spans="2:5">
      <c r="B568" s="64">
        <v>45874</v>
      </c>
      <c r="C568" s="78">
        <v>0.070668</v>
      </c>
      <c r="D568" s="79">
        <v>130</v>
      </c>
      <c r="E568" s="80">
        <v>12</v>
      </c>
    </row>
    <row r="569" ht="15.6" spans="2:5">
      <c r="B569" s="64">
        <v>45875</v>
      </c>
      <c r="C569" s="78">
        <v>0.069714</v>
      </c>
      <c r="D569" s="79">
        <v>120</v>
      </c>
      <c r="E569" s="80">
        <v>8</v>
      </c>
    </row>
    <row r="570" ht="15.6" spans="2:5">
      <c r="B570" s="64">
        <v>45876</v>
      </c>
      <c r="C570" s="78">
        <v>0.069699</v>
      </c>
      <c r="D570" s="79">
        <v>164</v>
      </c>
      <c r="E570" s="80">
        <v>10</v>
      </c>
    </row>
    <row r="571" ht="15.6" spans="2:5">
      <c r="B571" s="64">
        <v>45877</v>
      </c>
      <c r="C571" s="78">
        <v>0.069662</v>
      </c>
      <c r="D571" s="79">
        <v>137</v>
      </c>
      <c r="E571" s="80">
        <v>8</v>
      </c>
    </row>
    <row r="572" ht="15.6" spans="2:5">
      <c r="B572" s="64">
        <v>45880</v>
      </c>
      <c r="C572" s="78">
        <v>0.070051</v>
      </c>
      <c r="D572" s="79">
        <v>219</v>
      </c>
      <c r="E572" s="80">
        <v>7</v>
      </c>
    </row>
    <row r="573" ht="15.6" spans="2:5">
      <c r="B573" s="64">
        <v>45881</v>
      </c>
      <c r="C573" s="78">
        <v>0.0695</v>
      </c>
      <c r="D573" s="79">
        <v>98</v>
      </c>
      <c r="E573" s="80">
        <v>6</v>
      </c>
    </row>
    <row r="574" ht="15.6" spans="2:5">
      <c r="B574" s="64">
        <v>45882</v>
      </c>
      <c r="C574" s="78">
        <v>0.069338</v>
      </c>
      <c r="D574" s="79">
        <v>112</v>
      </c>
      <c r="E574" s="80">
        <v>7</v>
      </c>
    </row>
    <row r="575" ht="15.6" spans="2:5">
      <c r="B575" s="64">
        <v>45883</v>
      </c>
      <c r="C575" s="78">
        <v>0.068739</v>
      </c>
      <c r="D575" s="79">
        <v>189</v>
      </c>
      <c r="E575" s="80">
        <v>7</v>
      </c>
    </row>
    <row r="576" ht="15.6" spans="2:5">
      <c r="B576" s="64">
        <v>45884</v>
      </c>
      <c r="C576" s="78">
        <v>0.069182</v>
      </c>
      <c r="D576" s="79">
        <v>120</v>
      </c>
      <c r="E576" s="80">
        <v>6</v>
      </c>
    </row>
    <row r="577" ht="15.6" spans="2:5">
      <c r="B577" s="64">
        <v>45887</v>
      </c>
      <c r="C577" s="78">
        <v>0.069341</v>
      </c>
      <c r="D577" s="79">
        <v>124</v>
      </c>
      <c r="E577" s="80">
        <v>6</v>
      </c>
    </row>
    <row r="578" ht="15.6" spans="2:5">
      <c r="B578" s="64">
        <v>45888</v>
      </c>
      <c r="C578" s="78">
        <v>0.069488</v>
      </c>
      <c r="D578" s="79">
        <v>106</v>
      </c>
      <c r="E578" s="80">
        <v>7</v>
      </c>
    </row>
    <row r="579" ht="15.6" spans="2:5">
      <c r="B579" s="64">
        <v>45889</v>
      </c>
      <c r="C579" s="78">
        <v>0.069472</v>
      </c>
      <c r="D579" s="79">
        <v>104</v>
      </c>
      <c r="E579" s="80">
        <v>5</v>
      </c>
    </row>
    <row r="580" ht="15.6" spans="2:5">
      <c r="B580" s="64">
        <v>45890</v>
      </c>
      <c r="C580" s="78">
        <v>0.069437</v>
      </c>
      <c r="D580" s="79">
        <v>99</v>
      </c>
      <c r="E580" s="80">
        <v>9</v>
      </c>
    </row>
    <row r="581" ht="15.6" spans="2:5">
      <c r="B581" s="64">
        <v>45891</v>
      </c>
      <c r="C581" s="78">
        <v>0.069633</v>
      </c>
      <c r="D581" s="79">
        <v>89</v>
      </c>
      <c r="E581" s="80">
        <v>9</v>
      </c>
    </row>
    <row r="582" ht="15.6" spans="2:5">
      <c r="B582" s="64">
        <v>45894</v>
      </c>
      <c r="C582" s="78">
        <v>0.069606</v>
      </c>
      <c r="D582" s="79">
        <v>95</v>
      </c>
      <c r="E582" s="80">
        <v>9</v>
      </c>
    </row>
    <row r="583" ht="15.6" spans="2:5">
      <c r="B583" s="64">
        <v>45895</v>
      </c>
      <c r="C583" s="78">
        <v>0.069653</v>
      </c>
      <c r="D583" s="79">
        <v>90</v>
      </c>
      <c r="E583" s="80">
        <v>8</v>
      </c>
    </row>
    <row r="584" ht="15.6" spans="2:5">
      <c r="B584" s="64">
        <v>45896</v>
      </c>
      <c r="C584" s="78">
        <v>0.069653</v>
      </c>
      <c r="D584" s="79">
        <v>90</v>
      </c>
      <c r="E584" s="80">
        <v>8</v>
      </c>
    </row>
    <row r="585" ht="15.6" spans="2:5">
      <c r="B585" s="64">
        <v>45897</v>
      </c>
      <c r="C585" s="78">
        <v>0.069592</v>
      </c>
      <c r="D585" s="79">
        <v>150</v>
      </c>
      <c r="E585" s="80">
        <v>9</v>
      </c>
    </row>
    <row r="586" ht="15.6" spans="2:5">
      <c r="B586" s="64">
        <v>45898</v>
      </c>
      <c r="C586" s="78">
        <v>0.069896</v>
      </c>
      <c r="D586" s="79">
        <v>170</v>
      </c>
      <c r="E586" s="80">
        <v>11</v>
      </c>
    </row>
    <row r="587" ht="15.6" spans="2:5">
      <c r="B587" s="64">
        <v>45901</v>
      </c>
      <c r="C587" s="78">
        <v>0.069875</v>
      </c>
      <c r="D587" s="79">
        <v>176</v>
      </c>
      <c r="E587" s="80">
        <v>12</v>
      </c>
    </row>
    <row r="588" ht="15.6" spans="2:5">
      <c r="B588" s="64">
        <v>45902</v>
      </c>
      <c r="C588" s="78">
        <v>0.069584</v>
      </c>
      <c r="D588" s="79">
        <v>106</v>
      </c>
      <c r="E588" s="80">
        <v>12</v>
      </c>
    </row>
    <row r="589" ht="15.6" spans="2:5">
      <c r="B589" s="64">
        <v>45903</v>
      </c>
      <c r="C589" s="78">
        <v>0.06964</v>
      </c>
      <c r="D589" s="79">
        <v>143</v>
      </c>
      <c r="E589" s="80">
        <v>13</v>
      </c>
    </row>
    <row r="590" ht="15.6" spans="2:5">
      <c r="B590" s="64">
        <v>45904</v>
      </c>
      <c r="C590" s="78">
        <v>0.069611</v>
      </c>
      <c r="D590" s="79">
        <v>131</v>
      </c>
      <c r="E590" s="80">
        <v>15</v>
      </c>
    </row>
    <row r="591" ht="15.6" spans="2:5">
      <c r="B591" s="64">
        <v>45905</v>
      </c>
      <c r="C591" s="78">
        <v>0.069928</v>
      </c>
      <c r="D591" s="79">
        <v>226</v>
      </c>
      <c r="E591" s="80">
        <v>16</v>
      </c>
    </row>
    <row r="592" ht="15.6" spans="2:5">
      <c r="B592" s="64">
        <v>45908</v>
      </c>
      <c r="C592" s="78">
        <v>0.06985</v>
      </c>
      <c r="D592" s="79">
        <v>236</v>
      </c>
      <c r="E592" s="80">
        <v>17</v>
      </c>
    </row>
    <row r="593" ht="15.6" spans="2:5">
      <c r="B593" s="64">
        <v>45909</v>
      </c>
      <c r="C593" s="78">
        <v>0.069804</v>
      </c>
      <c r="D593" s="79">
        <v>216</v>
      </c>
      <c r="E593" s="80">
        <v>16</v>
      </c>
    </row>
    <row r="594" ht="15.6" spans="2:5">
      <c r="B594" s="64">
        <v>45910</v>
      </c>
      <c r="C594" s="78">
        <v>0.069492</v>
      </c>
      <c r="D594" s="79">
        <v>150</v>
      </c>
      <c r="E594" s="80">
        <v>16</v>
      </c>
    </row>
    <row r="595" ht="15.6" spans="2:5">
      <c r="B595" s="64">
        <v>45911</v>
      </c>
      <c r="C595" s="78">
        <v>0.069442</v>
      </c>
      <c r="D595" s="79">
        <v>161</v>
      </c>
      <c r="E595" s="80">
        <v>14</v>
      </c>
    </row>
    <row r="596" ht="15.6" spans="2:5">
      <c r="B596" s="64">
        <v>45912</v>
      </c>
      <c r="C596" s="78">
        <v>0.069795</v>
      </c>
      <c r="D596" s="79">
        <v>288</v>
      </c>
      <c r="E596" s="80">
        <v>16</v>
      </c>
    </row>
    <row r="597" ht="15.6" spans="2:5">
      <c r="B597" s="64">
        <v>45915</v>
      </c>
      <c r="C597" s="78">
        <v>0.069634</v>
      </c>
      <c r="D597" s="79">
        <v>168</v>
      </c>
      <c r="E597" s="80">
        <v>12</v>
      </c>
    </row>
    <row r="598" ht="15.6" spans="2:5">
      <c r="B598" s="64">
        <v>45916</v>
      </c>
      <c r="C598" s="78">
        <v>0.069787</v>
      </c>
      <c r="D598" s="79">
        <v>287</v>
      </c>
      <c r="E598" s="80">
        <v>16</v>
      </c>
    </row>
    <row r="599" ht="15.6" spans="2:5">
      <c r="B599" s="64">
        <v>45917</v>
      </c>
      <c r="C599" s="78">
        <v>0.069731</v>
      </c>
      <c r="D599" s="79">
        <v>308</v>
      </c>
      <c r="E599" s="80">
        <v>15</v>
      </c>
    </row>
    <row r="600" ht="15.6" spans="2:5">
      <c r="B600" s="64">
        <v>45918</v>
      </c>
      <c r="C600" s="78">
        <v>0.069689</v>
      </c>
      <c r="D600" s="79">
        <v>278</v>
      </c>
      <c r="E600" s="80">
        <v>15</v>
      </c>
    </row>
    <row r="601" ht="15.6" spans="2:5">
      <c r="B601" s="64">
        <v>45919</v>
      </c>
      <c r="C601" s="78">
        <v>0.06958</v>
      </c>
      <c r="D601" s="79">
        <v>311</v>
      </c>
      <c r="E601" s="80">
        <v>20</v>
      </c>
    </row>
    <row r="602" ht="15.6" spans="2:5">
      <c r="B602" s="64">
        <v>45922</v>
      </c>
      <c r="C602" s="78">
        <v>0.069239</v>
      </c>
      <c r="D602" s="79">
        <v>190</v>
      </c>
      <c r="E602" s="80">
        <v>15</v>
      </c>
    </row>
    <row r="603" ht="15.6" spans="2:5">
      <c r="B603" s="64">
        <v>45923</v>
      </c>
      <c r="C603" s="78">
        <v>0.06943</v>
      </c>
      <c r="D603" s="79">
        <v>252</v>
      </c>
      <c r="E603" s="80">
        <v>13</v>
      </c>
    </row>
    <row r="606" spans="3:3">
      <c r="C606" s="15"/>
    </row>
  </sheetData>
  <mergeCells count="3">
    <mergeCell ref="H2:I2"/>
    <mergeCell ref="B21:E21"/>
    <mergeCell ref="B18:E19"/>
  </mergeCells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215"/>
  <sheetViews>
    <sheetView workbookViewId="0">
      <pane xSplit="1" ySplit="3" topLeftCell="B189" activePane="bottomRight" state="frozen"/>
      <selection/>
      <selection pane="topRight"/>
      <selection pane="bottomLeft"/>
      <selection pane="bottomRight" activeCell="D212" sqref="D212:D213"/>
    </sheetView>
  </sheetViews>
  <sheetFormatPr defaultColWidth="9" defaultRowHeight="14.4"/>
  <cols>
    <col min="1" max="1" width="4.57407407407407" customWidth="1"/>
    <col min="2" max="2" width="16.5740740740741" customWidth="1"/>
    <col min="3" max="3" width="14.5740740740741" customWidth="1"/>
    <col min="4" max="4" width="18.5740740740741" customWidth="1"/>
    <col min="5" max="5" width="17.4259259259259" customWidth="1"/>
    <col min="6" max="6" width="15.4259259259259" customWidth="1"/>
    <col min="7" max="7" width="16.5740740740741" customWidth="1"/>
    <col min="8" max="8" width="18.4259259259259" customWidth="1"/>
  </cols>
  <sheetData>
    <row r="1" ht="15.15"/>
    <row r="2" ht="24.15" spans="2:8">
      <c r="B2" s="42" t="s">
        <v>13</v>
      </c>
      <c r="C2" s="43" t="s">
        <v>17</v>
      </c>
      <c r="D2" s="44"/>
      <c r="E2" s="45"/>
      <c r="F2" s="43" t="s">
        <v>18</v>
      </c>
      <c r="G2" s="44"/>
      <c r="H2" s="45"/>
    </row>
    <row r="3" ht="79.5" customHeight="1" spans="2:8">
      <c r="B3" s="46"/>
      <c r="C3" s="47" t="s">
        <v>19</v>
      </c>
      <c r="D3" s="47" t="s">
        <v>20</v>
      </c>
      <c r="E3" s="47" t="s">
        <v>21</v>
      </c>
      <c r="F3" s="47" t="s">
        <v>19</v>
      </c>
      <c r="G3" s="47" t="s">
        <v>20</v>
      </c>
      <c r="H3" s="48" t="s">
        <v>21</v>
      </c>
    </row>
    <row r="4" ht="16.5" customHeight="1" spans="2:8">
      <c r="B4" s="22">
        <v>45047</v>
      </c>
      <c r="C4" s="39">
        <v>0.0496928251121076</v>
      </c>
      <c r="D4" s="35">
        <v>111.5</v>
      </c>
      <c r="E4" s="23">
        <v>11</v>
      </c>
      <c r="F4" s="39"/>
      <c r="G4" s="35"/>
      <c r="H4" s="24"/>
    </row>
    <row r="5" ht="16.35" spans="2:8">
      <c r="B5" s="22">
        <v>45048</v>
      </c>
      <c r="C5" s="39">
        <v>0.0494</v>
      </c>
      <c r="D5" s="35">
        <v>161</v>
      </c>
      <c r="E5" s="23">
        <v>16</v>
      </c>
      <c r="F5" s="39">
        <v>0.0549</v>
      </c>
      <c r="G5" s="35">
        <v>36</v>
      </c>
      <c r="H5" s="24">
        <v>2</v>
      </c>
    </row>
    <row r="6" ht="16.35" spans="2:8">
      <c r="B6" s="22">
        <v>45049</v>
      </c>
      <c r="C6" s="39">
        <v>0.0493</v>
      </c>
      <c r="D6" s="35">
        <v>162</v>
      </c>
      <c r="E6" s="23">
        <v>14</v>
      </c>
      <c r="F6" s="39">
        <v>0.0549</v>
      </c>
      <c r="G6" s="35"/>
      <c r="H6" s="24"/>
    </row>
    <row r="7" ht="16.35" spans="2:8">
      <c r="B7" s="22">
        <v>45050</v>
      </c>
      <c r="C7" s="39">
        <v>0.0535</v>
      </c>
      <c r="D7" s="35">
        <v>147</v>
      </c>
      <c r="E7" s="23">
        <v>14</v>
      </c>
      <c r="F7" s="39">
        <v>0.0575</v>
      </c>
      <c r="G7" s="35">
        <v>10</v>
      </c>
      <c r="H7" s="24">
        <v>1</v>
      </c>
    </row>
    <row r="8" ht="16.35" spans="2:8">
      <c r="B8" s="22">
        <v>45051</v>
      </c>
      <c r="C8" s="39">
        <v>0.0538</v>
      </c>
      <c r="D8" s="35">
        <v>142.5</v>
      </c>
      <c r="E8" s="23">
        <v>14</v>
      </c>
      <c r="F8" s="39">
        <v>0.0575</v>
      </c>
      <c r="G8" s="35">
        <v>16</v>
      </c>
      <c r="H8" s="24">
        <v>1</v>
      </c>
    </row>
    <row r="9" ht="16.35" spans="2:8">
      <c r="B9" s="22">
        <v>45054</v>
      </c>
      <c r="C9" s="39">
        <v>0.0535</v>
      </c>
      <c r="D9" s="35">
        <v>155</v>
      </c>
      <c r="E9" s="23">
        <v>15</v>
      </c>
      <c r="F9" s="39">
        <v>0.0575</v>
      </c>
      <c r="G9" s="35"/>
      <c r="H9" s="24"/>
    </row>
    <row r="10" ht="16.35" spans="2:8">
      <c r="B10" s="22">
        <v>45056</v>
      </c>
      <c r="C10" s="39">
        <v>0.0535</v>
      </c>
      <c r="D10" s="35">
        <v>149.5</v>
      </c>
      <c r="E10" s="23">
        <v>14</v>
      </c>
      <c r="F10" s="39">
        <v>0.0593</v>
      </c>
      <c r="G10" s="35">
        <v>46</v>
      </c>
      <c r="H10" s="24">
        <v>3</v>
      </c>
    </row>
    <row r="11" ht="16.35" spans="2:8">
      <c r="B11" s="22">
        <v>45057</v>
      </c>
      <c r="C11" s="39">
        <v>0.0537</v>
      </c>
      <c r="D11" s="35">
        <v>179</v>
      </c>
      <c r="E11" s="23">
        <v>17</v>
      </c>
      <c r="F11" s="39">
        <v>0.0593</v>
      </c>
      <c r="G11" s="35"/>
      <c r="H11" s="24"/>
    </row>
    <row r="12" ht="16.35" spans="2:8">
      <c r="B12" s="22">
        <v>45058</v>
      </c>
      <c r="C12" s="39">
        <v>0.0534</v>
      </c>
      <c r="D12" s="35">
        <v>168</v>
      </c>
      <c r="E12" s="23">
        <v>14</v>
      </c>
      <c r="F12" s="39">
        <v>0.0575</v>
      </c>
      <c r="G12" s="35">
        <v>16</v>
      </c>
      <c r="H12" s="24">
        <v>1</v>
      </c>
    </row>
    <row r="13" ht="16.35" spans="2:8">
      <c r="B13" s="22">
        <v>45061</v>
      </c>
      <c r="C13" s="39">
        <v>0.0538</v>
      </c>
      <c r="D13" s="35">
        <v>157</v>
      </c>
      <c r="E13" s="23">
        <v>13</v>
      </c>
      <c r="F13" s="39">
        <v>0.0575</v>
      </c>
      <c r="G13" s="35"/>
      <c r="H13" s="24"/>
    </row>
    <row r="14" ht="16.35" spans="2:8">
      <c r="B14" s="22">
        <v>45062</v>
      </c>
      <c r="C14" s="39">
        <v>0.0539</v>
      </c>
      <c r="D14" s="35">
        <v>174</v>
      </c>
      <c r="E14" s="23">
        <v>14</v>
      </c>
      <c r="F14" s="39">
        <v>0.0575</v>
      </c>
      <c r="G14" s="35"/>
      <c r="H14" s="24"/>
    </row>
    <row r="15" ht="16.35" spans="2:8">
      <c r="B15" s="22">
        <v>45063</v>
      </c>
      <c r="C15" s="39">
        <v>0.054</v>
      </c>
      <c r="D15" s="35">
        <v>161</v>
      </c>
      <c r="E15" s="23">
        <v>15</v>
      </c>
      <c r="F15" s="39">
        <v>0.0593</v>
      </c>
      <c r="G15" s="35">
        <v>46</v>
      </c>
      <c r="H15" s="24">
        <v>3</v>
      </c>
    </row>
    <row r="16" ht="16.35" spans="2:8">
      <c r="B16" s="22">
        <v>45064</v>
      </c>
      <c r="C16" s="39">
        <v>0.054</v>
      </c>
      <c r="D16" s="35">
        <v>184</v>
      </c>
      <c r="E16" s="23">
        <v>16</v>
      </c>
      <c r="F16" s="39">
        <v>0.0593</v>
      </c>
      <c r="G16" s="35"/>
      <c r="H16" s="24"/>
    </row>
    <row r="17" ht="16.35" spans="2:8">
      <c r="B17" s="22">
        <v>45065</v>
      </c>
      <c r="C17" s="39">
        <v>0.0536</v>
      </c>
      <c r="D17" s="35">
        <v>160</v>
      </c>
      <c r="E17" s="23">
        <v>16</v>
      </c>
      <c r="F17" s="39">
        <v>0.0593</v>
      </c>
      <c r="G17" s="35"/>
      <c r="H17" s="24"/>
    </row>
    <row r="18" ht="16.35" spans="2:8">
      <c r="B18" s="22">
        <v>45068</v>
      </c>
      <c r="C18" s="39">
        <v>0.0532</v>
      </c>
      <c r="D18" s="35">
        <v>126</v>
      </c>
      <c r="E18" s="23">
        <v>12</v>
      </c>
      <c r="F18" s="39">
        <v>0.0593</v>
      </c>
      <c r="G18" s="35"/>
      <c r="H18" s="24"/>
    </row>
    <row r="19" ht="16.35" spans="2:8">
      <c r="B19" s="22">
        <v>45069</v>
      </c>
      <c r="C19" s="39">
        <v>0.0538</v>
      </c>
      <c r="D19" s="35">
        <v>179.8</v>
      </c>
      <c r="E19" s="23">
        <v>14</v>
      </c>
      <c r="F19" s="39">
        <v>0.0593</v>
      </c>
      <c r="G19" s="35"/>
      <c r="H19" s="24"/>
    </row>
    <row r="20" ht="16.35" spans="2:8">
      <c r="B20" s="22">
        <v>45070</v>
      </c>
      <c r="C20" s="39">
        <v>0.055</v>
      </c>
      <c r="D20" s="35">
        <v>235.3</v>
      </c>
      <c r="E20" s="23">
        <v>19</v>
      </c>
      <c r="F20" s="39">
        <v>0.0575</v>
      </c>
      <c r="G20" s="35">
        <v>10</v>
      </c>
      <c r="H20" s="24">
        <v>1</v>
      </c>
    </row>
    <row r="21" ht="16.35" spans="2:8">
      <c r="B21" s="22">
        <v>45071</v>
      </c>
      <c r="C21" s="39">
        <v>0.0546</v>
      </c>
      <c r="D21" s="35">
        <v>267.3</v>
      </c>
      <c r="E21" s="23">
        <v>22</v>
      </c>
      <c r="F21" s="39">
        <v>0.0575</v>
      </c>
      <c r="G21" s="35"/>
      <c r="H21" s="24"/>
    </row>
    <row r="22" ht="16.35" spans="2:8">
      <c r="B22" s="22">
        <v>45072</v>
      </c>
      <c r="C22" s="39">
        <v>0.0546</v>
      </c>
      <c r="D22" s="35"/>
      <c r="E22" s="23"/>
      <c r="F22" s="39">
        <v>0.0575</v>
      </c>
      <c r="G22" s="35"/>
      <c r="H22" s="24"/>
    </row>
    <row r="23" ht="16.35" spans="2:8">
      <c r="B23" s="22">
        <v>45076</v>
      </c>
      <c r="C23" s="39">
        <v>0.0544</v>
      </c>
      <c r="D23" s="35">
        <v>263.8</v>
      </c>
      <c r="E23" s="23">
        <v>21</v>
      </c>
      <c r="F23" s="39">
        <v>0.0575</v>
      </c>
      <c r="G23" s="35"/>
      <c r="H23" s="24"/>
    </row>
    <row r="24" ht="15" customHeight="1" spans="2:17">
      <c r="B24" s="22">
        <v>45077</v>
      </c>
      <c r="C24" s="39">
        <v>0.0546</v>
      </c>
      <c r="D24" s="35">
        <v>215</v>
      </c>
      <c r="E24" s="23">
        <v>18</v>
      </c>
      <c r="F24" s="39">
        <v>0.0575</v>
      </c>
      <c r="G24" s="35">
        <v>10</v>
      </c>
      <c r="H24" s="24">
        <v>1</v>
      </c>
      <c r="I24" s="41"/>
      <c r="J24" s="41"/>
      <c r="K24" s="41"/>
      <c r="L24" s="41"/>
      <c r="M24" s="41"/>
      <c r="N24" s="41"/>
      <c r="O24" s="41"/>
      <c r="P24" s="41"/>
      <c r="Q24" s="41"/>
    </row>
    <row r="25" ht="18" customHeight="1" spans="2:17">
      <c r="B25" s="22">
        <v>45078</v>
      </c>
      <c r="C25" s="39">
        <v>0.054</v>
      </c>
      <c r="D25" s="35">
        <v>188</v>
      </c>
      <c r="E25" s="23">
        <v>16</v>
      </c>
      <c r="F25" s="39">
        <v>0.0575</v>
      </c>
      <c r="G25" s="35"/>
      <c r="H25" s="24"/>
      <c r="I25" s="41"/>
      <c r="J25" s="41"/>
      <c r="K25" s="41"/>
      <c r="L25" s="41"/>
      <c r="M25" s="41"/>
      <c r="N25" s="41"/>
      <c r="O25" s="41"/>
      <c r="P25" s="41"/>
      <c r="Q25" s="41"/>
    </row>
    <row r="26" ht="15" customHeight="1" spans="2:17">
      <c r="B26" s="22">
        <v>45079</v>
      </c>
      <c r="C26" s="39">
        <v>0.0545</v>
      </c>
      <c r="D26" s="35">
        <v>181.5</v>
      </c>
      <c r="E26" s="23">
        <v>16</v>
      </c>
      <c r="F26" s="39">
        <v>0.0575</v>
      </c>
      <c r="G26" s="35"/>
      <c r="H26" s="24"/>
      <c r="I26" s="41"/>
      <c r="J26" s="41"/>
      <c r="K26" s="41"/>
      <c r="L26" s="41"/>
      <c r="M26" s="41"/>
      <c r="N26" s="41"/>
      <c r="O26" s="41"/>
      <c r="P26" s="41"/>
      <c r="Q26" s="41"/>
    </row>
    <row r="27" ht="15" customHeight="1" spans="2:17">
      <c r="B27" s="22">
        <v>45082</v>
      </c>
      <c r="C27" s="39">
        <v>0.0548</v>
      </c>
      <c r="D27" s="35">
        <v>202.5</v>
      </c>
      <c r="E27" s="23">
        <v>18</v>
      </c>
      <c r="F27" s="39"/>
      <c r="G27" s="35"/>
      <c r="H27" s="24"/>
      <c r="I27" s="41"/>
      <c r="J27" s="41"/>
      <c r="K27" s="41"/>
      <c r="L27" s="41"/>
      <c r="M27" s="41"/>
      <c r="N27" s="41"/>
      <c r="O27" s="41"/>
      <c r="P27" s="41"/>
      <c r="Q27" s="41"/>
    </row>
    <row r="28" ht="16.5" customHeight="1" spans="2:17">
      <c r="B28" s="22">
        <v>45083</v>
      </c>
      <c r="C28" s="39">
        <v>0.0553</v>
      </c>
      <c r="D28" s="35">
        <v>198.5</v>
      </c>
      <c r="E28" s="23">
        <v>18</v>
      </c>
      <c r="F28" s="39"/>
      <c r="G28" s="35"/>
      <c r="H28" s="24"/>
      <c r="I28" s="41"/>
      <c r="J28" s="41"/>
      <c r="K28" s="41"/>
      <c r="L28" s="41"/>
      <c r="M28" s="41"/>
      <c r="N28" s="41"/>
      <c r="O28" s="41"/>
      <c r="P28" s="41"/>
      <c r="Q28" s="41"/>
    </row>
    <row r="29" ht="16.35" spans="2:8">
      <c r="B29" s="22">
        <v>45084</v>
      </c>
      <c r="C29" s="39">
        <v>0.0545</v>
      </c>
      <c r="D29" s="35">
        <v>201.5</v>
      </c>
      <c r="E29" s="23">
        <v>16</v>
      </c>
      <c r="F29" s="39">
        <v>0.0575</v>
      </c>
      <c r="G29" s="35">
        <v>10</v>
      </c>
      <c r="H29" s="24">
        <v>1</v>
      </c>
    </row>
    <row r="30" ht="16.35" spans="2:8">
      <c r="B30" s="22">
        <v>45085</v>
      </c>
      <c r="C30" s="39">
        <v>0.0558</v>
      </c>
      <c r="D30" s="35">
        <v>162</v>
      </c>
      <c r="E30" s="23">
        <v>15</v>
      </c>
      <c r="F30" s="39">
        <v>0.0575</v>
      </c>
      <c r="G30" s="35"/>
      <c r="H30" s="24"/>
    </row>
    <row r="31" ht="16.35" spans="2:8">
      <c r="B31" s="22">
        <v>45086</v>
      </c>
      <c r="C31" s="39">
        <v>0.0556</v>
      </c>
      <c r="D31" s="35">
        <v>157.5</v>
      </c>
      <c r="E31" s="23">
        <v>14</v>
      </c>
      <c r="F31" s="39">
        <v>0.0575</v>
      </c>
      <c r="G31" s="35"/>
      <c r="H31" s="24"/>
    </row>
    <row r="32" ht="16.35" spans="2:8">
      <c r="B32" s="22">
        <v>45089</v>
      </c>
      <c r="C32" s="39">
        <v>0.0557</v>
      </c>
      <c r="D32" s="35">
        <v>158.5</v>
      </c>
      <c r="E32" s="23">
        <v>15</v>
      </c>
      <c r="F32" s="39">
        <v>0.0575</v>
      </c>
      <c r="G32" s="35"/>
      <c r="H32" s="24"/>
    </row>
    <row r="33" ht="16.35" spans="2:8">
      <c r="B33" s="22">
        <v>45090</v>
      </c>
      <c r="C33" s="39">
        <v>0.0565</v>
      </c>
      <c r="D33" s="35">
        <v>140</v>
      </c>
      <c r="E33" s="23">
        <v>12</v>
      </c>
      <c r="F33" s="39">
        <v>0.0575</v>
      </c>
      <c r="G33" s="35"/>
      <c r="H33" s="24"/>
    </row>
    <row r="34" ht="16.35" spans="2:8">
      <c r="B34" s="22">
        <v>45091</v>
      </c>
      <c r="C34" s="39">
        <v>0.0558</v>
      </c>
      <c r="D34" s="35">
        <v>164</v>
      </c>
      <c r="E34" s="23">
        <v>14</v>
      </c>
      <c r="F34" s="39">
        <v>0.0575</v>
      </c>
      <c r="G34" s="35">
        <v>10</v>
      </c>
      <c r="H34" s="24">
        <v>1</v>
      </c>
    </row>
    <row r="35" ht="16.35" spans="2:8">
      <c r="B35" s="22">
        <v>45093</v>
      </c>
      <c r="C35" s="39">
        <v>0.0558</v>
      </c>
      <c r="D35" s="35">
        <v>180</v>
      </c>
      <c r="E35" s="23">
        <v>16</v>
      </c>
      <c r="F35" s="39">
        <v>0.0575</v>
      </c>
      <c r="G35" s="35"/>
      <c r="H35" s="24"/>
    </row>
    <row r="36" ht="16.35" spans="2:8">
      <c r="B36" s="22">
        <v>45096</v>
      </c>
      <c r="C36" s="39">
        <v>0.0564</v>
      </c>
      <c r="D36" s="35">
        <v>135</v>
      </c>
      <c r="E36" s="23">
        <v>11</v>
      </c>
      <c r="F36" s="39">
        <v>0.0575</v>
      </c>
      <c r="G36" s="35"/>
      <c r="H36" s="24"/>
    </row>
    <row r="37" ht="16.35" spans="2:8">
      <c r="B37" s="22">
        <v>45097</v>
      </c>
      <c r="C37" s="39">
        <v>0.0564</v>
      </c>
      <c r="D37" s="35">
        <v>159.5</v>
      </c>
      <c r="E37" s="23">
        <v>12</v>
      </c>
      <c r="F37" s="39">
        <v>0.0575</v>
      </c>
      <c r="G37" s="35"/>
      <c r="H37" s="24"/>
    </row>
    <row r="38" ht="16.35" spans="2:8">
      <c r="B38" s="22">
        <v>45098</v>
      </c>
      <c r="C38" s="39">
        <v>0.0565</v>
      </c>
      <c r="D38" s="35">
        <v>169.5</v>
      </c>
      <c r="E38" s="23">
        <v>13</v>
      </c>
      <c r="F38" s="39">
        <v>0.0575</v>
      </c>
      <c r="G38" s="35"/>
      <c r="H38" s="24"/>
    </row>
    <row r="39" ht="16.35" spans="2:8">
      <c r="B39" s="22">
        <v>45099</v>
      </c>
      <c r="C39" s="39">
        <v>0.0563</v>
      </c>
      <c r="D39" s="35">
        <v>183</v>
      </c>
      <c r="E39" s="23">
        <v>16</v>
      </c>
      <c r="F39" s="39">
        <v>0.0575</v>
      </c>
      <c r="G39" s="35"/>
      <c r="H39" s="24"/>
    </row>
    <row r="40" ht="16.35" spans="2:8">
      <c r="B40" s="22">
        <v>45100</v>
      </c>
      <c r="C40" s="39">
        <v>0.0564</v>
      </c>
      <c r="D40" s="35">
        <v>173</v>
      </c>
      <c r="E40" s="23">
        <v>14</v>
      </c>
      <c r="F40" s="39">
        <v>0.0575</v>
      </c>
      <c r="G40" s="35"/>
      <c r="H40" s="24"/>
    </row>
    <row r="41" ht="16.35" spans="2:8">
      <c r="B41" s="22">
        <v>45101</v>
      </c>
      <c r="C41" s="39">
        <v>0.0563</v>
      </c>
      <c r="D41" s="35">
        <v>176.5</v>
      </c>
      <c r="E41" s="23">
        <v>14</v>
      </c>
      <c r="F41" s="39"/>
      <c r="G41" s="35"/>
      <c r="H41" s="24"/>
    </row>
    <row r="42" ht="16.35" spans="2:8">
      <c r="B42" s="22">
        <v>45102</v>
      </c>
      <c r="C42" s="39">
        <v>0.0563</v>
      </c>
      <c r="D42" s="35"/>
      <c r="E42" s="23"/>
      <c r="F42" s="39">
        <v>0.0517</v>
      </c>
      <c r="G42" s="35">
        <v>47</v>
      </c>
      <c r="H42" s="24">
        <v>6</v>
      </c>
    </row>
    <row r="43" ht="16.35" spans="2:8">
      <c r="B43" s="22">
        <v>45110</v>
      </c>
      <c r="C43" s="39">
        <v>0.0567</v>
      </c>
      <c r="D43" s="35">
        <v>135</v>
      </c>
      <c r="E43" s="23">
        <v>11</v>
      </c>
      <c r="F43" s="39">
        <v>0.0575</v>
      </c>
      <c r="G43" s="35">
        <v>10</v>
      </c>
      <c r="H43" s="24">
        <v>1</v>
      </c>
    </row>
    <row r="44" ht="16.35" spans="2:8">
      <c r="B44" s="22">
        <v>45111</v>
      </c>
      <c r="C44" s="39">
        <v>0.0564</v>
      </c>
      <c r="D44" s="35">
        <v>140</v>
      </c>
      <c r="E44" s="23">
        <v>10</v>
      </c>
      <c r="F44" s="39">
        <v>0.0575</v>
      </c>
      <c r="G44" s="35"/>
      <c r="H44" s="24"/>
    </row>
    <row r="45" ht="16.35" spans="2:8">
      <c r="B45" s="22">
        <v>45112</v>
      </c>
      <c r="C45" s="39">
        <v>0.056</v>
      </c>
      <c r="D45" s="35">
        <v>169</v>
      </c>
      <c r="E45" s="23">
        <v>12</v>
      </c>
      <c r="F45" s="39">
        <v>0.0575</v>
      </c>
      <c r="G45" s="35"/>
      <c r="H45" s="24"/>
    </row>
    <row r="46" ht="16.35" spans="2:8">
      <c r="B46" s="22">
        <v>45113</v>
      </c>
      <c r="C46" s="39">
        <v>0.0567</v>
      </c>
      <c r="D46" s="35">
        <v>122.5</v>
      </c>
      <c r="E46" s="23">
        <v>10</v>
      </c>
      <c r="F46" s="39">
        <v>0.0575</v>
      </c>
      <c r="G46" s="35"/>
      <c r="H46" s="24"/>
    </row>
    <row r="47" ht="16.35" spans="2:8">
      <c r="B47" s="22">
        <v>45114</v>
      </c>
      <c r="C47" s="39">
        <v>0.0563</v>
      </c>
      <c r="D47" s="35">
        <v>156.5</v>
      </c>
      <c r="E47" s="23">
        <v>13</v>
      </c>
      <c r="F47" s="39">
        <v>0.0575</v>
      </c>
      <c r="G47" s="35"/>
      <c r="H47" s="24"/>
    </row>
    <row r="48" ht="16.35" spans="2:8">
      <c r="B48" s="22">
        <v>45117</v>
      </c>
      <c r="C48" s="39">
        <v>0.0558</v>
      </c>
      <c r="D48" s="35">
        <v>164</v>
      </c>
      <c r="E48" s="23">
        <v>13</v>
      </c>
      <c r="F48" s="39">
        <v>0.0575</v>
      </c>
      <c r="G48" s="35">
        <v>10</v>
      </c>
      <c r="H48" s="24">
        <v>1</v>
      </c>
    </row>
    <row r="49" ht="16.35" spans="2:8">
      <c r="B49" s="22">
        <v>45118</v>
      </c>
      <c r="C49" s="39">
        <v>0.0563</v>
      </c>
      <c r="D49" s="35">
        <v>136</v>
      </c>
      <c r="E49" s="23">
        <v>12</v>
      </c>
      <c r="F49" s="39">
        <v>0.0575</v>
      </c>
      <c r="G49" s="35"/>
      <c r="H49" s="24"/>
    </row>
    <row r="50" ht="16.35" spans="2:8">
      <c r="B50" s="22">
        <v>45119</v>
      </c>
      <c r="C50" s="39">
        <v>0.0567</v>
      </c>
      <c r="D50" s="35">
        <v>110</v>
      </c>
      <c r="E50" s="23">
        <v>10</v>
      </c>
      <c r="F50" s="39">
        <v>0.0575</v>
      </c>
      <c r="G50" s="35"/>
      <c r="H50" s="24"/>
    </row>
    <row r="51" ht="16.35" spans="2:8">
      <c r="B51" s="22">
        <v>45120</v>
      </c>
      <c r="C51" s="39">
        <v>0.0564</v>
      </c>
      <c r="D51" s="35">
        <v>131.5</v>
      </c>
      <c r="E51" s="23">
        <v>12</v>
      </c>
      <c r="F51" s="39">
        <v>0.0575</v>
      </c>
      <c r="G51" s="35"/>
      <c r="H51" s="24"/>
    </row>
    <row r="52" ht="16.35" spans="2:8">
      <c r="B52" s="22">
        <v>45121</v>
      </c>
      <c r="C52" s="39">
        <v>0.0568</v>
      </c>
      <c r="D52" s="35">
        <v>112.5</v>
      </c>
      <c r="E52" s="23">
        <v>10</v>
      </c>
      <c r="F52" s="39">
        <v>0.0575</v>
      </c>
      <c r="G52" s="35"/>
      <c r="H52" s="24"/>
    </row>
    <row r="53" ht="16.35" spans="2:8">
      <c r="B53" s="22">
        <v>45124</v>
      </c>
      <c r="C53" s="39">
        <v>0.0559</v>
      </c>
      <c r="D53" s="35">
        <v>121</v>
      </c>
      <c r="E53" s="23">
        <v>10</v>
      </c>
      <c r="F53" s="39">
        <v>0.0575</v>
      </c>
      <c r="G53" s="35">
        <v>10</v>
      </c>
      <c r="H53" s="24">
        <v>1</v>
      </c>
    </row>
    <row r="54" ht="16.35" spans="2:8">
      <c r="B54" s="22">
        <v>45125</v>
      </c>
      <c r="C54" s="39">
        <v>0.056</v>
      </c>
      <c r="D54" s="35">
        <v>122</v>
      </c>
      <c r="E54" s="23">
        <v>10</v>
      </c>
      <c r="F54" s="39">
        <v>0.0575</v>
      </c>
      <c r="G54" s="35"/>
      <c r="H54" s="24"/>
    </row>
    <row r="55" ht="16.35" spans="2:8">
      <c r="B55" s="22">
        <v>45126</v>
      </c>
      <c r="C55" s="39">
        <v>0.0569</v>
      </c>
      <c r="D55" s="35">
        <v>108</v>
      </c>
      <c r="E55" s="23">
        <v>9</v>
      </c>
      <c r="F55" s="39">
        <v>0.0575</v>
      </c>
      <c r="G55" s="35"/>
      <c r="H55" s="24"/>
    </row>
    <row r="56" ht="16.35" spans="2:8">
      <c r="B56" s="22">
        <v>45127</v>
      </c>
      <c r="C56" s="39">
        <v>0.0566</v>
      </c>
      <c r="D56" s="35">
        <v>127</v>
      </c>
      <c r="E56" s="23">
        <v>10</v>
      </c>
      <c r="F56" s="39">
        <v>0.0575</v>
      </c>
      <c r="G56" s="35"/>
      <c r="H56" s="24"/>
    </row>
    <row r="57" ht="16.35" spans="2:8">
      <c r="B57" s="22">
        <v>45128</v>
      </c>
      <c r="C57" s="39">
        <v>0.0571</v>
      </c>
      <c r="D57" s="35">
        <v>110</v>
      </c>
      <c r="E57" s="23">
        <v>8</v>
      </c>
      <c r="F57" s="39">
        <v>0.0575</v>
      </c>
      <c r="G57" s="35"/>
      <c r="H57" s="24"/>
    </row>
    <row r="58" ht="16.35" spans="2:8">
      <c r="B58" s="22">
        <v>45131</v>
      </c>
      <c r="C58" s="39">
        <v>0.0572</v>
      </c>
      <c r="D58" s="35">
        <v>107</v>
      </c>
      <c r="E58" s="23">
        <v>7</v>
      </c>
      <c r="F58" s="39">
        <v>0.0575</v>
      </c>
      <c r="G58" s="35">
        <v>10</v>
      </c>
      <c r="H58" s="24">
        <v>1</v>
      </c>
    </row>
    <row r="59" ht="16.35" spans="2:8">
      <c r="B59" s="22">
        <v>45132</v>
      </c>
      <c r="C59" s="39">
        <v>0.0568</v>
      </c>
      <c r="D59" s="35">
        <v>122</v>
      </c>
      <c r="E59" s="23">
        <v>8</v>
      </c>
      <c r="F59" s="39">
        <v>0.0575</v>
      </c>
      <c r="G59" s="35"/>
      <c r="H59" s="24"/>
    </row>
    <row r="60" ht="16.35" spans="2:8">
      <c r="B60" s="22">
        <v>45133</v>
      </c>
      <c r="C60" s="39">
        <v>0.0569</v>
      </c>
      <c r="D60" s="35">
        <v>112</v>
      </c>
      <c r="E60" s="23">
        <v>8</v>
      </c>
      <c r="F60" s="39">
        <v>0.0575</v>
      </c>
      <c r="G60" s="35"/>
      <c r="H60" s="24"/>
    </row>
    <row r="61" ht="16.35" spans="2:8">
      <c r="B61" s="22">
        <v>45134</v>
      </c>
      <c r="C61" s="39">
        <v>0.056</v>
      </c>
      <c r="D61" s="35">
        <v>133</v>
      </c>
      <c r="E61" s="23">
        <v>10</v>
      </c>
      <c r="F61" s="39">
        <v>0.0575</v>
      </c>
      <c r="G61" s="35"/>
      <c r="H61" s="24"/>
    </row>
    <row r="62" ht="16.35" spans="2:8">
      <c r="B62" s="22">
        <v>45135</v>
      </c>
      <c r="C62" s="39">
        <v>0.0553</v>
      </c>
      <c r="D62" s="35">
        <v>110.5</v>
      </c>
      <c r="E62" s="23">
        <v>9</v>
      </c>
      <c r="F62" s="39">
        <v>0.0575</v>
      </c>
      <c r="G62" s="35"/>
      <c r="H62" s="24"/>
    </row>
    <row r="63" ht="16.35" spans="2:8">
      <c r="B63" s="22">
        <v>45138</v>
      </c>
      <c r="C63" s="39">
        <v>0.0564</v>
      </c>
      <c r="D63" s="35">
        <v>145</v>
      </c>
      <c r="E63" s="23">
        <v>12</v>
      </c>
      <c r="F63" s="39">
        <v>0.0575</v>
      </c>
      <c r="G63" s="35"/>
      <c r="H63" s="24"/>
    </row>
    <row r="64" ht="16.35" spans="2:8">
      <c r="B64" s="22">
        <v>45139</v>
      </c>
      <c r="C64" s="39">
        <v>0.0563</v>
      </c>
      <c r="D64" s="35">
        <v>155</v>
      </c>
      <c r="E64" s="23">
        <v>12</v>
      </c>
      <c r="F64" s="39">
        <v>0.0575</v>
      </c>
      <c r="G64" s="35"/>
      <c r="H64" s="24"/>
    </row>
    <row r="65" ht="16.35" spans="2:8">
      <c r="B65" s="22">
        <v>45140</v>
      </c>
      <c r="C65" s="39">
        <v>0.0559</v>
      </c>
      <c r="D65" s="35">
        <v>165</v>
      </c>
      <c r="E65" s="23">
        <v>13</v>
      </c>
      <c r="F65" s="39">
        <v>0.0575</v>
      </c>
      <c r="G65" s="35"/>
      <c r="H65" s="24"/>
    </row>
    <row r="66" ht="16.35" spans="2:8">
      <c r="B66" s="22">
        <v>45141</v>
      </c>
      <c r="C66" s="39">
        <v>0.0564</v>
      </c>
      <c r="D66" s="35">
        <v>149</v>
      </c>
      <c r="E66" s="23">
        <v>11</v>
      </c>
      <c r="F66" s="39"/>
      <c r="G66" s="35"/>
      <c r="H66" s="24"/>
    </row>
    <row r="67" ht="16.35" spans="2:8">
      <c r="B67" s="22">
        <v>45142</v>
      </c>
      <c r="C67" s="39">
        <v>0.0565</v>
      </c>
      <c r="D67" s="35">
        <v>139</v>
      </c>
      <c r="E67" s="23">
        <v>10</v>
      </c>
      <c r="F67" s="39"/>
      <c r="G67" s="35"/>
      <c r="H67" s="24"/>
    </row>
    <row r="68" ht="16.35" spans="2:8">
      <c r="B68" s="22">
        <v>45145</v>
      </c>
      <c r="C68" s="39">
        <v>0.0567</v>
      </c>
      <c r="D68" s="35">
        <v>159</v>
      </c>
      <c r="E68" s="23">
        <v>12</v>
      </c>
      <c r="F68" s="39"/>
      <c r="G68" s="35"/>
      <c r="H68" s="24"/>
    </row>
    <row r="69" ht="16.35" spans="2:8">
      <c r="B69" s="22">
        <v>45146</v>
      </c>
      <c r="C69" s="39">
        <v>0.0569</v>
      </c>
      <c r="D69" s="35">
        <v>134.5</v>
      </c>
      <c r="E69" s="23">
        <v>11</v>
      </c>
      <c r="F69" s="39"/>
      <c r="G69" s="35"/>
      <c r="H69" s="24"/>
    </row>
    <row r="70" ht="16.35" spans="2:8">
      <c r="B70" s="22">
        <v>45147</v>
      </c>
      <c r="C70" s="39">
        <v>0.0576</v>
      </c>
      <c r="D70" s="35">
        <v>129.5</v>
      </c>
      <c r="E70" s="23">
        <v>11</v>
      </c>
      <c r="F70" s="39"/>
      <c r="G70" s="35"/>
      <c r="H70" s="24"/>
    </row>
    <row r="71" ht="16.35" spans="2:8">
      <c r="B71" s="22">
        <v>45148</v>
      </c>
      <c r="C71" s="39">
        <v>0.0566</v>
      </c>
      <c r="D71" s="35">
        <v>130</v>
      </c>
      <c r="E71" s="23">
        <v>11</v>
      </c>
      <c r="F71" s="39"/>
      <c r="G71" s="35"/>
      <c r="H71" s="24"/>
    </row>
    <row r="72" ht="16.35" spans="2:8">
      <c r="B72" s="22">
        <v>45149</v>
      </c>
      <c r="C72" s="39">
        <v>0.0571</v>
      </c>
      <c r="D72" s="35">
        <v>135</v>
      </c>
      <c r="E72" s="23">
        <v>11</v>
      </c>
      <c r="F72" s="39"/>
      <c r="G72" s="35"/>
      <c r="H72" s="24"/>
    </row>
    <row r="73" ht="16.35" spans="2:8">
      <c r="B73" s="22">
        <v>45152</v>
      </c>
      <c r="C73" s="39">
        <v>0.0568</v>
      </c>
      <c r="D73" s="35">
        <v>145.5</v>
      </c>
      <c r="E73" s="23">
        <v>12</v>
      </c>
      <c r="F73" s="39"/>
      <c r="G73" s="35"/>
      <c r="H73" s="24"/>
    </row>
    <row r="74" ht="16.35" spans="2:8">
      <c r="B74" s="22">
        <v>45153</v>
      </c>
      <c r="C74" s="39">
        <v>0.0601</v>
      </c>
      <c r="D74" s="35">
        <v>217</v>
      </c>
      <c r="E74" s="23">
        <v>15</v>
      </c>
      <c r="F74" s="39"/>
      <c r="G74" s="35"/>
      <c r="H74" s="24"/>
    </row>
    <row r="75" ht="16.35" spans="2:8">
      <c r="B75" s="22">
        <v>45154</v>
      </c>
      <c r="C75" s="39">
        <v>0.0597</v>
      </c>
      <c r="D75" s="35">
        <v>237</v>
      </c>
      <c r="E75" s="23">
        <v>17</v>
      </c>
      <c r="F75" s="39"/>
      <c r="G75" s="35"/>
      <c r="H75" s="24"/>
    </row>
    <row r="76" ht="16.35" spans="2:8">
      <c r="B76" s="22">
        <v>45155</v>
      </c>
      <c r="C76" s="39">
        <v>0.0594</v>
      </c>
      <c r="D76" s="35">
        <v>187</v>
      </c>
      <c r="E76" s="23">
        <v>15</v>
      </c>
      <c r="F76" s="39"/>
      <c r="G76" s="35"/>
      <c r="H76" s="24"/>
    </row>
    <row r="77" ht="16.35" spans="2:8">
      <c r="B77" s="22">
        <v>45156</v>
      </c>
      <c r="C77" s="39">
        <v>0.0595</v>
      </c>
      <c r="D77" s="35">
        <v>223</v>
      </c>
      <c r="E77" s="23">
        <v>16</v>
      </c>
      <c r="F77" s="39"/>
      <c r="G77" s="35"/>
      <c r="H77" s="24"/>
    </row>
    <row r="78" ht="16.35" spans="2:8">
      <c r="B78" s="22">
        <v>45159</v>
      </c>
      <c r="C78" s="39">
        <v>0.0594</v>
      </c>
      <c r="D78" s="35">
        <v>230</v>
      </c>
      <c r="E78" s="23">
        <v>16</v>
      </c>
      <c r="F78" s="39"/>
      <c r="G78" s="35"/>
      <c r="H78" s="24"/>
    </row>
    <row r="79" ht="16.35" spans="2:8">
      <c r="B79" s="22">
        <v>45160</v>
      </c>
      <c r="C79" s="39">
        <v>0.0594</v>
      </c>
      <c r="D79" s="35">
        <v>234</v>
      </c>
      <c r="E79" s="23">
        <v>16</v>
      </c>
      <c r="F79" s="39"/>
      <c r="G79" s="35"/>
      <c r="H79" s="24"/>
    </row>
    <row r="80" ht="16.35" spans="2:8">
      <c r="B80" s="22">
        <v>45161</v>
      </c>
      <c r="C80" s="39">
        <v>0.059</v>
      </c>
      <c r="D80" s="35">
        <v>244</v>
      </c>
      <c r="E80" s="23">
        <v>17</v>
      </c>
      <c r="F80" s="39"/>
      <c r="G80" s="35"/>
      <c r="H80" s="24"/>
    </row>
    <row r="81" ht="16.35" spans="2:8">
      <c r="B81" s="22">
        <v>45162</v>
      </c>
      <c r="C81" s="39">
        <v>0.0589</v>
      </c>
      <c r="D81" s="35">
        <v>204</v>
      </c>
      <c r="E81" s="23">
        <v>16</v>
      </c>
      <c r="F81" s="39"/>
      <c r="G81" s="35"/>
      <c r="H81" s="24"/>
    </row>
    <row r="82" ht="16.35" spans="2:8">
      <c r="B82" s="22">
        <v>45163</v>
      </c>
      <c r="C82" s="39">
        <v>0.0595</v>
      </c>
      <c r="D82" s="35">
        <v>332</v>
      </c>
      <c r="E82" s="23">
        <v>23</v>
      </c>
      <c r="F82" s="39"/>
      <c r="G82" s="35"/>
      <c r="H82" s="24"/>
    </row>
    <row r="83" ht="16.35" spans="2:8">
      <c r="B83" s="22">
        <v>45166</v>
      </c>
      <c r="C83" s="39">
        <v>0.0593</v>
      </c>
      <c r="D83" s="35">
        <v>355.5</v>
      </c>
      <c r="E83" s="23">
        <v>25</v>
      </c>
      <c r="F83" s="39"/>
      <c r="G83" s="35"/>
      <c r="H83" s="24"/>
    </row>
    <row r="84" ht="16.35" spans="2:8">
      <c r="B84" s="22">
        <v>45167</v>
      </c>
      <c r="C84" s="39">
        <v>0.0592</v>
      </c>
      <c r="D84" s="35">
        <v>372.5</v>
      </c>
      <c r="E84" s="23">
        <v>25</v>
      </c>
      <c r="F84" s="39"/>
      <c r="G84" s="35"/>
      <c r="H84" s="24"/>
    </row>
    <row r="85" ht="16.35" spans="2:8">
      <c r="B85" s="22">
        <v>45168</v>
      </c>
      <c r="C85" s="39">
        <v>0.059</v>
      </c>
      <c r="D85" s="35">
        <v>319</v>
      </c>
      <c r="E85" s="23">
        <v>21</v>
      </c>
      <c r="F85" s="39"/>
      <c r="G85" s="35"/>
      <c r="H85" s="24"/>
    </row>
    <row r="86" ht="16.35" spans="2:8">
      <c r="B86" s="22">
        <v>45169</v>
      </c>
      <c r="C86" s="39">
        <v>0.0595</v>
      </c>
      <c r="D86" s="35">
        <v>265</v>
      </c>
      <c r="E86" s="23">
        <v>17</v>
      </c>
      <c r="F86" s="39"/>
      <c r="G86" s="35"/>
      <c r="H86" s="24"/>
    </row>
    <row r="87" ht="16.35" spans="2:8">
      <c r="B87" s="22">
        <v>45170</v>
      </c>
      <c r="C87" s="39">
        <v>0.0588</v>
      </c>
      <c r="D87" s="35">
        <v>327</v>
      </c>
      <c r="E87" s="23">
        <v>21</v>
      </c>
      <c r="F87" s="39"/>
      <c r="G87" s="35"/>
      <c r="H87" s="24"/>
    </row>
    <row r="88" ht="16.35" spans="2:8">
      <c r="B88" s="22">
        <v>45173</v>
      </c>
      <c r="C88" s="39">
        <v>0.0591</v>
      </c>
      <c r="D88" s="35">
        <v>416.5</v>
      </c>
      <c r="E88" s="23">
        <v>26</v>
      </c>
      <c r="F88" s="39"/>
      <c r="G88" s="35"/>
      <c r="H88" s="24"/>
    </row>
    <row r="89" ht="16.35" spans="2:8">
      <c r="B89" s="22">
        <v>45174</v>
      </c>
      <c r="C89" s="39">
        <v>0.0593</v>
      </c>
      <c r="D89" s="35">
        <v>417</v>
      </c>
      <c r="E89" s="23">
        <v>28</v>
      </c>
      <c r="F89" s="39"/>
      <c r="G89" s="35"/>
      <c r="H89" s="24"/>
    </row>
    <row r="90" ht="16.35" spans="2:8">
      <c r="B90" s="22">
        <v>45175</v>
      </c>
      <c r="C90" s="39">
        <v>0.0591</v>
      </c>
      <c r="D90" s="35">
        <v>325.5</v>
      </c>
      <c r="E90" s="23">
        <v>23</v>
      </c>
      <c r="F90" s="39"/>
      <c r="G90" s="35"/>
      <c r="H90" s="24"/>
    </row>
    <row r="91" ht="16.35" spans="2:8">
      <c r="B91" s="22">
        <v>45176</v>
      </c>
      <c r="C91" s="39">
        <v>0.0593</v>
      </c>
      <c r="D91" s="35">
        <v>417</v>
      </c>
      <c r="E91" s="23">
        <v>28</v>
      </c>
      <c r="F91" s="39"/>
      <c r="G91" s="35"/>
      <c r="H91" s="24"/>
    </row>
    <row r="92" ht="16.35" spans="2:8">
      <c r="B92" s="22">
        <v>45177</v>
      </c>
      <c r="C92" s="39">
        <v>0.0592</v>
      </c>
      <c r="D92" s="35">
        <v>383</v>
      </c>
      <c r="E92" s="23">
        <v>26</v>
      </c>
      <c r="F92" s="39"/>
      <c r="G92" s="35"/>
      <c r="H92" s="24"/>
    </row>
    <row r="93" ht="16.35" spans="2:8">
      <c r="B93" s="22">
        <v>45180</v>
      </c>
      <c r="C93" s="39">
        <v>0.06</v>
      </c>
      <c r="D93" s="35">
        <v>164</v>
      </c>
      <c r="E93" s="23">
        <v>9</v>
      </c>
      <c r="F93" s="39"/>
      <c r="G93" s="35"/>
      <c r="H93" s="24"/>
    </row>
    <row r="94" ht="16.35" spans="2:8">
      <c r="B94" s="22">
        <v>45181</v>
      </c>
      <c r="C94" s="39">
        <v>0.06</v>
      </c>
      <c r="D94" s="35">
        <v>45</v>
      </c>
      <c r="E94" s="23">
        <v>2</v>
      </c>
      <c r="F94" s="39"/>
      <c r="G94" s="35"/>
      <c r="H94" s="24"/>
    </row>
    <row r="95" ht="16.35" spans="2:8">
      <c r="B95" s="22">
        <v>45182</v>
      </c>
      <c r="C95" s="39">
        <v>0.06</v>
      </c>
      <c r="D95" s="35"/>
      <c r="E95" s="23"/>
      <c r="F95" s="39"/>
      <c r="G95" s="35"/>
      <c r="H95" s="24"/>
    </row>
    <row r="96" ht="16.35" spans="2:8">
      <c r="B96" s="22">
        <v>45183</v>
      </c>
      <c r="C96" s="39">
        <v>0.06</v>
      </c>
      <c r="D96" s="35"/>
      <c r="E96" s="23"/>
      <c r="F96" s="39"/>
      <c r="G96" s="35"/>
      <c r="H96" s="24"/>
    </row>
    <row r="97" ht="16.35" spans="2:8">
      <c r="B97" s="22">
        <v>45184</v>
      </c>
      <c r="C97" s="39">
        <v>0.06</v>
      </c>
      <c r="D97" s="35"/>
      <c r="E97" s="23"/>
      <c r="F97" s="39"/>
      <c r="G97" s="35"/>
      <c r="H97" s="24"/>
    </row>
    <row r="98" ht="16.35" spans="2:8">
      <c r="B98" s="22">
        <v>45187</v>
      </c>
      <c r="C98" s="39">
        <v>0.06</v>
      </c>
      <c r="D98" s="35"/>
      <c r="E98" s="23"/>
      <c r="F98" s="39"/>
      <c r="G98" s="35"/>
      <c r="H98" s="24"/>
    </row>
    <row r="99" ht="16.35" spans="2:8">
      <c r="B99" s="22">
        <v>45188</v>
      </c>
      <c r="C99" s="39">
        <v>0.06</v>
      </c>
      <c r="D99" s="35"/>
      <c r="E99" s="23"/>
      <c r="F99" s="39"/>
      <c r="G99" s="35"/>
      <c r="H99" s="24"/>
    </row>
    <row r="100" ht="16.35" spans="2:8">
      <c r="B100" s="22">
        <v>45189</v>
      </c>
      <c r="C100" s="39">
        <v>0.06</v>
      </c>
      <c r="D100" s="35"/>
      <c r="E100" s="23"/>
      <c r="F100" s="39"/>
      <c r="G100" s="35"/>
      <c r="H100" s="24"/>
    </row>
    <row r="101" ht="16.35" spans="2:8">
      <c r="B101" s="22">
        <v>45190</v>
      </c>
      <c r="C101" s="39"/>
      <c r="D101" s="35"/>
      <c r="E101" s="23"/>
      <c r="F101" s="39"/>
      <c r="G101" s="35"/>
      <c r="H101" s="24"/>
    </row>
    <row r="102" ht="16.35" spans="2:8">
      <c r="B102" s="22">
        <v>45191</v>
      </c>
      <c r="C102" s="39"/>
      <c r="D102" s="35"/>
      <c r="E102" s="23"/>
      <c r="F102" s="39"/>
      <c r="G102" s="35"/>
      <c r="H102" s="24"/>
    </row>
    <row r="103" ht="16.35" spans="2:8">
      <c r="B103" s="22">
        <v>45194</v>
      </c>
      <c r="C103" s="39"/>
      <c r="D103" s="35"/>
      <c r="E103" s="23"/>
      <c r="F103" s="39"/>
      <c r="G103" s="35"/>
      <c r="H103" s="24"/>
    </row>
    <row r="104" ht="16.35" spans="2:8">
      <c r="B104" s="22">
        <v>45195</v>
      </c>
      <c r="C104" s="39"/>
      <c r="D104" s="35"/>
      <c r="E104" s="23"/>
      <c r="F104" s="39"/>
      <c r="G104" s="35"/>
      <c r="H104" s="24"/>
    </row>
    <row r="105" ht="16.35" spans="2:8">
      <c r="B105" s="22">
        <v>45196</v>
      </c>
      <c r="C105" s="39"/>
      <c r="D105" s="35"/>
      <c r="E105" s="23"/>
      <c r="F105" s="39"/>
      <c r="G105" s="35"/>
      <c r="H105" s="24"/>
    </row>
    <row r="106" ht="16.35" spans="2:8">
      <c r="B106" s="22">
        <v>45197</v>
      </c>
      <c r="C106" s="39"/>
      <c r="D106" s="35"/>
      <c r="E106" s="23"/>
      <c r="F106" s="39"/>
      <c r="G106" s="35"/>
      <c r="H106" s="24"/>
    </row>
    <row r="107" ht="16.35" spans="2:8">
      <c r="B107" s="22">
        <v>45198</v>
      </c>
      <c r="C107" s="39"/>
      <c r="D107" s="35"/>
      <c r="E107" s="23"/>
      <c r="F107" s="39"/>
      <c r="G107" s="35"/>
      <c r="H107" s="24"/>
    </row>
    <row r="108" ht="16.35" spans="2:8">
      <c r="B108" s="22">
        <v>45201</v>
      </c>
      <c r="C108" s="39"/>
      <c r="D108" s="35"/>
      <c r="E108" s="23"/>
      <c r="F108" s="39"/>
      <c r="G108" s="35"/>
      <c r="H108" s="24"/>
    </row>
    <row r="109" ht="16.35" spans="2:8">
      <c r="B109" s="22">
        <v>45202</v>
      </c>
      <c r="C109" s="39"/>
      <c r="D109" s="35"/>
      <c r="E109" s="23"/>
      <c r="F109" s="39"/>
      <c r="G109" s="35"/>
      <c r="H109" s="24"/>
    </row>
    <row r="110" ht="16.35" spans="2:8">
      <c r="B110" s="22">
        <v>45203</v>
      </c>
      <c r="C110" s="39"/>
      <c r="D110" s="35"/>
      <c r="E110" s="23"/>
      <c r="F110" s="39"/>
      <c r="G110" s="35"/>
      <c r="H110" s="24"/>
    </row>
    <row r="111" ht="16.35" spans="2:8">
      <c r="B111" s="22">
        <v>45204</v>
      </c>
      <c r="C111" s="39"/>
      <c r="D111" s="35"/>
      <c r="E111" s="23"/>
      <c r="F111" s="39"/>
      <c r="G111" s="35"/>
      <c r="H111" s="24"/>
    </row>
    <row r="112" ht="16.35" spans="2:8">
      <c r="B112" s="22">
        <v>45205</v>
      </c>
      <c r="C112" s="39"/>
      <c r="D112" s="35"/>
      <c r="E112" s="23"/>
      <c r="F112" s="39"/>
      <c r="G112" s="35"/>
      <c r="H112" s="24"/>
    </row>
    <row r="113" ht="16.35" spans="2:8">
      <c r="B113" s="22">
        <v>45208</v>
      </c>
      <c r="C113" s="39"/>
      <c r="D113" s="35"/>
      <c r="E113" s="23"/>
      <c r="F113" s="39"/>
      <c r="G113" s="35"/>
      <c r="H113" s="24"/>
    </row>
    <row r="114" ht="16.35" spans="2:8">
      <c r="B114" s="22">
        <v>45209</v>
      </c>
      <c r="C114" s="39"/>
      <c r="D114" s="35"/>
      <c r="E114" s="23"/>
      <c r="F114" s="39"/>
      <c r="G114" s="35"/>
      <c r="H114" s="24"/>
    </row>
    <row r="115" ht="16.35" spans="2:8">
      <c r="B115" s="22">
        <v>45210</v>
      </c>
      <c r="C115" s="39"/>
      <c r="D115" s="35"/>
      <c r="E115" s="23"/>
      <c r="F115" s="39"/>
      <c r="G115" s="35"/>
      <c r="H115" s="24"/>
    </row>
    <row r="116" ht="16.35" spans="2:8">
      <c r="B116" s="22">
        <v>45211</v>
      </c>
      <c r="C116" s="39">
        <v>0.055</v>
      </c>
      <c r="D116" s="35">
        <v>30</v>
      </c>
      <c r="E116" s="23">
        <v>1</v>
      </c>
      <c r="F116" s="39"/>
      <c r="G116" s="35"/>
      <c r="H116" s="24"/>
    </row>
    <row r="117" ht="16.35" spans="2:8">
      <c r="B117" s="22">
        <v>45212</v>
      </c>
      <c r="C117" s="39">
        <v>0.055</v>
      </c>
      <c r="D117" s="35"/>
      <c r="E117" s="23"/>
      <c r="F117" s="39"/>
      <c r="G117" s="35"/>
      <c r="H117" s="24"/>
    </row>
    <row r="118" ht="16.35" spans="2:8">
      <c r="B118" s="22">
        <v>45215</v>
      </c>
      <c r="C118" s="39">
        <v>0.055</v>
      </c>
      <c r="D118" s="35"/>
      <c r="E118" s="23"/>
      <c r="F118" s="39"/>
      <c r="G118" s="35"/>
      <c r="H118" s="24"/>
    </row>
    <row r="119" ht="16.35" spans="2:8">
      <c r="B119" s="22">
        <v>45216</v>
      </c>
      <c r="C119" s="39">
        <v>0.055</v>
      </c>
      <c r="D119" s="35"/>
      <c r="E119" s="23"/>
      <c r="F119" s="39"/>
      <c r="G119" s="35"/>
      <c r="H119" s="24"/>
    </row>
    <row r="120" ht="16.35" spans="2:8">
      <c r="B120" s="22">
        <v>45217</v>
      </c>
      <c r="C120" s="39">
        <v>0.055</v>
      </c>
      <c r="D120" s="35"/>
      <c r="E120" s="23"/>
      <c r="F120" s="39"/>
      <c r="G120" s="35"/>
      <c r="H120" s="24"/>
    </row>
    <row r="121" ht="16.35" spans="2:8">
      <c r="B121" s="22">
        <v>45218</v>
      </c>
      <c r="C121" s="39">
        <v>0.055</v>
      </c>
      <c r="D121" s="35"/>
      <c r="E121" s="23"/>
      <c r="F121" s="39"/>
      <c r="G121" s="35"/>
      <c r="H121" s="24"/>
    </row>
    <row r="122" ht="16.35" spans="2:8">
      <c r="B122" s="22">
        <v>45219</v>
      </c>
      <c r="C122" s="39">
        <v>0.055</v>
      </c>
      <c r="D122" s="35"/>
      <c r="E122" s="23"/>
      <c r="F122" s="39"/>
      <c r="G122" s="35"/>
      <c r="H122" s="24"/>
    </row>
    <row r="123" ht="16.35" spans="2:8">
      <c r="B123" s="22">
        <v>45222</v>
      </c>
      <c r="C123" s="39"/>
      <c r="D123" s="35"/>
      <c r="E123" s="23"/>
      <c r="F123" s="39"/>
      <c r="G123" s="35"/>
      <c r="H123" s="24"/>
    </row>
    <row r="124" ht="16.35" spans="2:8">
      <c r="B124" s="22">
        <v>45223</v>
      </c>
      <c r="C124" s="39"/>
      <c r="D124" s="35"/>
      <c r="E124" s="23"/>
      <c r="F124" s="39"/>
      <c r="G124" s="35"/>
      <c r="H124" s="24"/>
    </row>
    <row r="125" ht="16.35" spans="2:8">
      <c r="B125" s="22">
        <v>45224</v>
      </c>
      <c r="C125" s="39"/>
      <c r="D125" s="35"/>
      <c r="E125" s="23"/>
      <c r="F125" s="39"/>
      <c r="G125" s="35"/>
      <c r="H125" s="24"/>
    </row>
    <row r="126" ht="16.35" spans="2:8">
      <c r="B126" s="22">
        <v>45225</v>
      </c>
      <c r="C126" s="39"/>
      <c r="D126" s="35"/>
      <c r="E126" s="23"/>
      <c r="F126" s="39"/>
      <c r="G126" s="35"/>
      <c r="H126" s="24"/>
    </row>
    <row r="127" ht="16.35" spans="2:8">
      <c r="B127" s="22">
        <v>45226</v>
      </c>
      <c r="C127" s="39"/>
      <c r="D127" s="35"/>
      <c r="E127" s="23"/>
      <c r="F127" s="39"/>
      <c r="G127" s="35"/>
      <c r="H127" s="24"/>
    </row>
    <row r="128" ht="16.35" spans="2:8">
      <c r="B128" s="22">
        <v>45229</v>
      </c>
      <c r="C128" s="39"/>
      <c r="D128" s="35"/>
      <c r="E128" s="23"/>
      <c r="F128" s="39"/>
      <c r="G128" s="35"/>
      <c r="H128" s="24"/>
    </row>
    <row r="129" ht="16.35" spans="2:8">
      <c r="B129" s="22">
        <v>45230</v>
      </c>
      <c r="C129" s="39"/>
      <c r="D129" s="35"/>
      <c r="E129" s="23"/>
      <c r="F129" s="39"/>
      <c r="G129" s="35"/>
      <c r="H129" s="24"/>
    </row>
    <row r="130" ht="16.35" spans="2:8">
      <c r="B130" s="22">
        <v>45231</v>
      </c>
      <c r="C130" s="39"/>
      <c r="D130" s="35"/>
      <c r="E130" s="23"/>
      <c r="F130" s="39"/>
      <c r="G130" s="35"/>
      <c r="H130" s="24"/>
    </row>
    <row r="131" ht="16.35" spans="2:8">
      <c r="B131" s="22">
        <v>45232</v>
      </c>
      <c r="C131" s="39"/>
      <c r="D131" s="35"/>
      <c r="E131" s="23"/>
      <c r="F131" s="39"/>
      <c r="G131" s="35"/>
      <c r="H131" s="24"/>
    </row>
    <row r="132" ht="16.35" spans="2:8">
      <c r="B132" s="22">
        <v>45233</v>
      </c>
      <c r="C132" s="39"/>
      <c r="D132" s="35"/>
      <c r="E132" s="23"/>
      <c r="F132" s="39"/>
      <c r="G132" s="35"/>
      <c r="H132" s="24"/>
    </row>
    <row r="133" ht="16.35" spans="2:8">
      <c r="B133" s="22">
        <v>45234</v>
      </c>
      <c r="C133" s="39"/>
      <c r="D133" s="35"/>
      <c r="E133" s="23"/>
      <c r="F133" s="39"/>
      <c r="G133" s="35"/>
      <c r="H133" s="24"/>
    </row>
    <row r="134" ht="16.35" spans="2:8">
      <c r="B134" s="22">
        <v>45236</v>
      </c>
      <c r="C134" s="39"/>
      <c r="D134" s="35"/>
      <c r="E134" s="23"/>
      <c r="F134" s="39"/>
      <c r="G134" s="35"/>
      <c r="H134" s="24"/>
    </row>
    <row r="135" ht="16.35" spans="2:8">
      <c r="B135" s="22">
        <v>45237</v>
      </c>
      <c r="C135" s="39"/>
      <c r="D135" s="35"/>
      <c r="E135" s="23"/>
      <c r="F135" s="39"/>
      <c r="G135" s="35"/>
      <c r="H135" s="24"/>
    </row>
    <row r="136" ht="16.35" spans="2:8">
      <c r="B136" s="22">
        <v>45243</v>
      </c>
      <c r="C136" s="39"/>
      <c r="D136" s="35"/>
      <c r="E136" s="23"/>
      <c r="F136" s="39"/>
      <c r="G136" s="35"/>
      <c r="H136" s="24"/>
    </row>
    <row r="137" ht="16.35" spans="2:8">
      <c r="B137" s="22">
        <v>45244</v>
      </c>
      <c r="C137" s="39"/>
      <c r="D137" s="35"/>
      <c r="E137" s="23"/>
      <c r="F137" s="39"/>
      <c r="G137" s="35"/>
      <c r="H137" s="24"/>
    </row>
    <row r="138" ht="16.35" spans="2:8">
      <c r="B138" s="22">
        <v>45245</v>
      </c>
      <c r="C138" s="39"/>
      <c r="D138" s="35"/>
      <c r="E138" s="23"/>
      <c r="F138" s="39"/>
      <c r="G138" s="35"/>
      <c r="H138" s="24"/>
    </row>
    <row r="139" ht="16.35" spans="2:8">
      <c r="B139" s="22">
        <v>45246</v>
      </c>
      <c r="C139" s="39"/>
      <c r="D139" s="35"/>
      <c r="E139" s="23"/>
      <c r="F139" s="39"/>
      <c r="G139" s="35"/>
      <c r="H139" s="24"/>
    </row>
    <row r="140" ht="16.35" spans="2:8">
      <c r="B140" s="22">
        <v>45247</v>
      </c>
      <c r="C140" s="39">
        <v>0.0718</v>
      </c>
      <c r="D140" s="35">
        <v>30</v>
      </c>
      <c r="E140" s="23">
        <v>2</v>
      </c>
      <c r="F140" s="39"/>
      <c r="G140" s="35"/>
      <c r="H140" s="24"/>
    </row>
    <row r="141" ht="16.35" spans="2:8">
      <c r="B141" s="22">
        <v>45250</v>
      </c>
      <c r="C141" s="39">
        <v>0.071</v>
      </c>
      <c r="D141" s="35">
        <v>15</v>
      </c>
      <c r="E141" s="23">
        <v>1</v>
      </c>
      <c r="F141" s="39"/>
      <c r="G141" s="35"/>
      <c r="H141" s="24"/>
    </row>
    <row r="142" ht="16.35" spans="2:8">
      <c r="B142" s="22">
        <v>45251</v>
      </c>
      <c r="C142" s="39">
        <v>0.071</v>
      </c>
      <c r="D142" s="35">
        <v>15</v>
      </c>
      <c r="E142" s="23">
        <v>1</v>
      </c>
      <c r="F142" s="39"/>
      <c r="G142" s="35"/>
      <c r="H142" s="24"/>
    </row>
    <row r="143" ht="16.35" spans="2:8">
      <c r="B143" s="22">
        <v>45252</v>
      </c>
      <c r="C143" s="39">
        <v>0.072</v>
      </c>
      <c r="D143" s="35">
        <v>70</v>
      </c>
      <c r="E143" s="23">
        <v>3</v>
      </c>
      <c r="F143" s="39"/>
      <c r="G143" s="35"/>
      <c r="H143" s="24"/>
    </row>
    <row r="144" ht="16.35" spans="2:8">
      <c r="B144" s="22">
        <v>45253</v>
      </c>
      <c r="C144" s="39">
        <v>0.0719</v>
      </c>
      <c r="D144" s="35">
        <v>80</v>
      </c>
      <c r="E144" s="23">
        <v>4</v>
      </c>
      <c r="F144" s="39"/>
      <c r="G144" s="35"/>
      <c r="H144" s="24"/>
    </row>
    <row r="145" ht="16.35" spans="2:8">
      <c r="B145" s="22">
        <v>45254</v>
      </c>
      <c r="C145" s="39">
        <v>0.0719</v>
      </c>
      <c r="D145" s="35">
        <v>85</v>
      </c>
      <c r="E145" s="23">
        <v>4</v>
      </c>
      <c r="F145" s="39"/>
      <c r="G145" s="35"/>
      <c r="H145" s="24"/>
    </row>
    <row r="146" ht="16.35" spans="2:8">
      <c r="B146" s="22">
        <v>45257</v>
      </c>
      <c r="C146" s="39">
        <v>0.0719</v>
      </c>
      <c r="D146" s="35">
        <v>85</v>
      </c>
      <c r="E146" s="23">
        <v>4</v>
      </c>
      <c r="F146" s="39"/>
      <c r="G146" s="35"/>
      <c r="H146" s="24"/>
    </row>
    <row r="147" ht="16.35" spans="2:8">
      <c r="B147" s="22">
        <v>45258</v>
      </c>
      <c r="C147" s="39">
        <v>0.0718</v>
      </c>
      <c r="D147" s="35">
        <v>95</v>
      </c>
      <c r="E147" s="23">
        <v>5</v>
      </c>
      <c r="F147" s="39"/>
      <c r="G147" s="35"/>
      <c r="H147" s="24"/>
    </row>
    <row r="148" ht="16.35" spans="2:8">
      <c r="B148" s="22">
        <v>45259</v>
      </c>
      <c r="C148" s="39">
        <v>0.0718</v>
      </c>
      <c r="D148" s="35">
        <v>95</v>
      </c>
      <c r="E148" s="23">
        <v>5</v>
      </c>
      <c r="F148" s="39"/>
      <c r="G148" s="35"/>
      <c r="H148" s="24"/>
    </row>
    <row r="149" ht="16.35" spans="2:8">
      <c r="B149" s="22">
        <v>45260</v>
      </c>
      <c r="C149" s="39">
        <v>0.0718</v>
      </c>
      <c r="D149" s="35"/>
      <c r="E149" s="23"/>
      <c r="F149" s="39"/>
      <c r="G149" s="35"/>
      <c r="H149" s="24"/>
    </row>
    <row r="150" ht="16.35" spans="2:8">
      <c r="B150" s="22">
        <v>45261</v>
      </c>
      <c r="C150" s="39">
        <v>0.0718</v>
      </c>
      <c r="D150" s="35"/>
      <c r="E150" s="23"/>
      <c r="F150" s="39"/>
      <c r="G150" s="35"/>
      <c r="H150" s="24"/>
    </row>
    <row r="151" ht="16.35" spans="2:8">
      <c r="B151" s="22">
        <v>45264</v>
      </c>
      <c r="C151" s="39">
        <v>0.0718</v>
      </c>
      <c r="D151" s="35"/>
      <c r="E151" s="23"/>
      <c r="F151" s="39"/>
      <c r="G151" s="35"/>
      <c r="H151" s="24"/>
    </row>
    <row r="152" ht="16.35" spans="2:8">
      <c r="B152" s="22">
        <v>45265</v>
      </c>
      <c r="C152" s="39">
        <v>0.0718</v>
      </c>
      <c r="D152" s="35"/>
      <c r="E152" s="23"/>
      <c r="F152" s="39"/>
      <c r="G152" s="35"/>
      <c r="H152" s="24"/>
    </row>
    <row r="153" ht="16.35" spans="2:8">
      <c r="B153" s="22">
        <v>45266</v>
      </c>
      <c r="C153" s="39">
        <v>0.0718</v>
      </c>
      <c r="D153" s="35"/>
      <c r="E153" s="23"/>
      <c r="F153" s="39"/>
      <c r="G153" s="35"/>
      <c r="H153" s="24"/>
    </row>
    <row r="154" ht="16.35" spans="2:8">
      <c r="B154" s="22">
        <v>45267</v>
      </c>
      <c r="C154" s="39">
        <v>0.0718</v>
      </c>
      <c r="D154" s="35"/>
      <c r="E154" s="23"/>
      <c r="F154" s="39"/>
      <c r="G154" s="35"/>
      <c r="H154" s="24"/>
    </row>
    <row r="155" ht="16.35" spans="2:8">
      <c r="B155" s="22">
        <v>45268</v>
      </c>
      <c r="C155" s="39"/>
      <c r="D155" s="35"/>
      <c r="E155" s="23"/>
      <c r="F155" s="39"/>
      <c r="G155" s="35"/>
      <c r="H155" s="24"/>
    </row>
    <row r="156" ht="16.35" spans="2:8">
      <c r="B156" s="22">
        <v>45271</v>
      </c>
      <c r="C156" s="39"/>
      <c r="D156" s="35"/>
      <c r="E156" s="23"/>
      <c r="F156" s="39"/>
      <c r="G156" s="35"/>
      <c r="H156" s="24"/>
    </row>
    <row r="157" ht="16.35" spans="2:8">
      <c r="B157" s="22">
        <v>45272</v>
      </c>
      <c r="C157" s="39"/>
      <c r="D157" s="35"/>
      <c r="E157" s="23"/>
      <c r="F157" s="39"/>
      <c r="G157" s="35"/>
      <c r="H157" s="24"/>
    </row>
    <row r="158" ht="16.35" spans="2:8">
      <c r="B158" s="22">
        <v>45273</v>
      </c>
      <c r="C158" s="39"/>
      <c r="D158" s="35"/>
      <c r="E158" s="23"/>
      <c r="F158" s="39"/>
      <c r="G158" s="35"/>
      <c r="H158" s="24"/>
    </row>
    <row r="159" ht="16.35" spans="2:8">
      <c r="B159" s="22">
        <v>45274</v>
      </c>
      <c r="C159" s="39"/>
      <c r="D159" s="35"/>
      <c r="E159" s="23"/>
      <c r="F159" s="39"/>
      <c r="G159" s="35"/>
      <c r="H159" s="24"/>
    </row>
    <row r="160" ht="16.35" spans="2:8">
      <c r="B160" s="22">
        <v>45275</v>
      </c>
      <c r="C160" s="39">
        <v>0.0779</v>
      </c>
      <c r="D160" s="35">
        <v>188</v>
      </c>
      <c r="E160" s="23">
        <v>8</v>
      </c>
      <c r="F160" s="39"/>
      <c r="G160" s="35"/>
      <c r="H160" s="24"/>
    </row>
    <row r="161" ht="16.35" spans="2:8">
      <c r="B161" s="22">
        <v>45278</v>
      </c>
      <c r="C161" s="39">
        <v>0.0769</v>
      </c>
      <c r="D161" s="35">
        <v>276</v>
      </c>
      <c r="E161" s="23">
        <v>14</v>
      </c>
      <c r="F161" s="39"/>
      <c r="G161" s="35"/>
      <c r="H161" s="24"/>
    </row>
    <row r="162" ht="16.35" spans="2:8">
      <c r="B162" s="22">
        <v>45279</v>
      </c>
      <c r="C162" s="39">
        <v>0.0769</v>
      </c>
      <c r="D162" s="35">
        <v>276</v>
      </c>
      <c r="E162" s="23">
        <v>13</v>
      </c>
      <c r="F162" s="39"/>
      <c r="G162" s="35"/>
      <c r="H162" s="24"/>
    </row>
    <row r="163" ht="16.35" spans="2:8">
      <c r="B163" s="22">
        <v>45280</v>
      </c>
      <c r="C163" s="39">
        <v>0.077</v>
      </c>
      <c r="D163" s="35">
        <v>319</v>
      </c>
      <c r="E163" s="23">
        <v>16</v>
      </c>
      <c r="F163" s="39"/>
      <c r="G163" s="35"/>
      <c r="H163" s="24"/>
    </row>
    <row r="164" ht="16.35" spans="2:8">
      <c r="B164" s="22">
        <v>45281</v>
      </c>
      <c r="C164" s="39">
        <v>0.0728</v>
      </c>
      <c r="D164" s="35">
        <v>289.8</v>
      </c>
      <c r="E164" s="23">
        <v>13</v>
      </c>
      <c r="F164" s="39"/>
      <c r="G164" s="35"/>
      <c r="H164" s="24"/>
    </row>
    <row r="165" ht="16.35" spans="2:8">
      <c r="B165" s="22">
        <v>45282</v>
      </c>
      <c r="C165" s="39">
        <v>0.0724</v>
      </c>
      <c r="D165" s="35">
        <v>324.8</v>
      </c>
      <c r="E165" s="23">
        <v>13</v>
      </c>
      <c r="F165" s="39"/>
      <c r="G165" s="35"/>
      <c r="H165" s="24"/>
    </row>
    <row r="166" ht="16.35" spans="2:8">
      <c r="B166" s="22">
        <v>45285</v>
      </c>
      <c r="C166" s="39">
        <v>0.0722</v>
      </c>
      <c r="D166" s="35">
        <v>347.8</v>
      </c>
      <c r="E166" s="23">
        <v>14</v>
      </c>
      <c r="F166" s="39"/>
      <c r="G166" s="35"/>
      <c r="H166" s="24"/>
    </row>
    <row r="167" ht="16.35" spans="2:8">
      <c r="B167" s="22">
        <v>45286</v>
      </c>
      <c r="C167" s="39">
        <v>0.0725</v>
      </c>
      <c r="D167" s="35">
        <v>339.8</v>
      </c>
      <c r="E167" s="23">
        <v>14</v>
      </c>
      <c r="F167" s="39"/>
      <c r="G167" s="35"/>
      <c r="H167" s="24"/>
    </row>
    <row r="168" ht="16.35" spans="2:8">
      <c r="B168" s="22">
        <v>45287</v>
      </c>
      <c r="C168" s="39">
        <v>0.0724</v>
      </c>
      <c r="D168" s="35">
        <v>344.8</v>
      </c>
      <c r="E168" s="23">
        <v>15</v>
      </c>
      <c r="F168" s="39"/>
      <c r="G168" s="35"/>
      <c r="H168" s="24"/>
    </row>
    <row r="169" ht="16.35" spans="2:8">
      <c r="B169" s="22">
        <v>45288</v>
      </c>
      <c r="C169" s="39">
        <v>0.0744</v>
      </c>
      <c r="D169" s="35">
        <v>381.8</v>
      </c>
      <c r="E169" s="23">
        <v>13</v>
      </c>
      <c r="F169" s="39"/>
      <c r="G169" s="35"/>
      <c r="H169" s="24"/>
    </row>
    <row r="170" ht="16.35" spans="2:8">
      <c r="B170" s="22">
        <v>45289</v>
      </c>
      <c r="C170" s="39">
        <v>0.0755</v>
      </c>
      <c r="D170" s="35">
        <v>325</v>
      </c>
      <c r="E170" s="23">
        <v>8</v>
      </c>
      <c r="F170" s="39"/>
      <c r="G170" s="35"/>
      <c r="H170" s="24"/>
    </row>
    <row r="171" ht="16.35" spans="2:8">
      <c r="B171" s="22">
        <v>45290</v>
      </c>
      <c r="C171" s="39">
        <v>0.0755</v>
      </c>
      <c r="D171" s="35"/>
      <c r="E171" s="23"/>
      <c r="F171" s="39">
        <v>0.0741</v>
      </c>
      <c r="G171" s="35">
        <v>227.3</v>
      </c>
      <c r="H171" s="24">
        <v>8</v>
      </c>
    </row>
    <row r="172" ht="16.35" spans="2:8">
      <c r="B172" s="22">
        <v>45298</v>
      </c>
      <c r="C172" s="39">
        <v>0.0698</v>
      </c>
      <c r="D172" s="35">
        <v>62.8</v>
      </c>
      <c r="E172" s="23">
        <v>3</v>
      </c>
      <c r="F172" s="39">
        <v>0.0741</v>
      </c>
      <c r="G172" s="35"/>
      <c r="H172" s="24"/>
    </row>
    <row r="173" ht="16.35" spans="2:8">
      <c r="B173" s="22">
        <v>45299</v>
      </c>
      <c r="C173" s="39">
        <v>0.0697</v>
      </c>
      <c r="D173" s="35">
        <v>196.3</v>
      </c>
      <c r="E173" s="23">
        <v>8</v>
      </c>
      <c r="F173" s="39">
        <v>0.067</v>
      </c>
      <c r="G173" s="35">
        <v>8</v>
      </c>
      <c r="H173" s="24">
        <v>1</v>
      </c>
    </row>
    <row r="174" ht="16.35" spans="2:8">
      <c r="B174" s="22">
        <v>45300</v>
      </c>
      <c r="C174" s="39">
        <v>0.0697</v>
      </c>
      <c r="D174" s="35">
        <v>216.3</v>
      </c>
      <c r="E174" s="23">
        <v>9</v>
      </c>
      <c r="F174" s="39">
        <v>0.067</v>
      </c>
      <c r="G174" s="35"/>
      <c r="H174" s="24"/>
    </row>
    <row r="175" ht="16.35" spans="2:8">
      <c r="B175" s="22">
        <v>45301</v>
      </c>
      <c r="C175" s="39">
        <v>0.0696</v>
      </c>
      <c r="D175" s="35">
        <v>260.5</v>
      </c>
      <c r="E175" s="23">
        <v>10</v>
      </c>
      <c r="F175" s="39">
        <v>0.067</v>
      </c>
      <c r="G175" s="35"/>
      <c r="H175" s="24"/>
    </row>
    <row r="176" ht="16.35" spans="2:8">
      <c r="B176" s="22">
        <v>45302</v>
      </c>
      <c r="C176" s="39">
        <v>0.0696</v>
      </c>
      <c r="D176" s="35">
        <v>252.5</v>
      </c>
      <c r="E176" s="23">
        <v>10</v>
      </c>
      <c r="F176" s="39">
        <v>0.067</v>
      </c>
      <c r="G176" s="35"/>
      <c r="H176" s="24"/>
    </row>
    <row r="177" ht="16.35" spans="2:8">
      <c r="B177" s="22">
        <v>45303</v>
      </c>
      <c r="C177" s="39">
        <v>0.069</v>
      </c>
      <c r="D177" s="35">
        <v>112.5</v>
      </c>
      <c r="E177" s="23">
        <v>6</v>
      </c>
      <c r="F177" s="39">
        <v>0.067</v>
      </c>
      <c r="G177" s="35"/>
      <c r="H177" s="24"/>
    </row>
    <row r="178" ht="16.35" spans="2:8">
      <c r="B178" s="22">
        <v>45306</v>
      </c>
      <c r="C178" s="39">
        <v>0.0729</v>
      </c>
      <c r="D178" s="35">
        <v>373.5</v>
      </c>
      <c r="E178" s="23">
        <v>13</v>
      </c>
      <c r="F178" s="39">
        <v>0.067</v>
      </c>
      <c r="G178" s="35">
        <v>8</v>
      </c>
      <c r="H178" s="24">
        <v>1</v>
      </c>
    </row>
    <row r="179" ht="16.35" spans="2:8">
      <c r="B179" s="22">
        <v>45307</v>
      </c>
      <c r="C179" s="39">
        <v>0.0685</v>
      </c>
      <c r="D179" s="35">
        <v>516</v>
      </c>
      <c r="E179" s="23">
        <v>21</v>
      </c>
      <c r="F179" s="39">
        <v>0.067</v>
      </c>
      <c r="G179" s="35"/>
      <c r="H179" s="24"/>
    </row>
    <row r="180" ht="16.35" spans="2:8">
      <c r="B180" s="22">
        <v>45308</v>
      </c>
      <c r="C180" s="39">
        <v>0.0676</v>
      </c>
      <c r="D180" s="35">
        <v>497.5</v>
      </c>
      <c r="E180" s="23">
        <v>21</v>
      </c>
      <c r="F180" s="39">
        <v>0.067</v>
      </c>
      <c r="G180" s="35"/>
      <c r="H180" s="24"/>
    </row>
    <row r="181" ht="16.35" spans="2:8">
      <c r="B181" s="22">
        <v>45309</v>
      </c>
      <c r="C181" s="39">
        <v>0.0668</v>
      </c>
      <c r="D181" s="35">
        <v>447</v>
      </c>
      <c r="E181" s="23">
        <v>18</v>
      </c>
      <c r="F181" s="39"/>
      <c r="G181" s="35"/>
      <c r="H181" s="24"/>
    </row>
    <row r="182" ht="16.35" spans="2:8">
      <c r="B182" s="22">
        <v>45310</v>
      </c>
      <c r="C182" s="39">
        <v>0.0668</v>
      </c>
      <c r="D182" s="35">
        <v>455.5</v>
      </c>
      <c r="E182" s="23">
        <v>19</v>
      </c>
      <c r="F182" s="39"/>
      <c r="G182" s="35"/>
      <c r="H182" s="24"/>
    </row>
    <row r="183" ht="16.35" spans="2:8">
      <c r="B183" s="22">
        <v>45313</v>
      </c>
      <c r="C183" s="39">
        <v>0.0668</v>
      </c>
      <c r="D183" s="35">
        <v>482.5</v>
      </c>
      <c r="E183" s="23">
        <v>21</v>
      </c>
      <c r="F183" s="39">
        <v>0.067</v>
      </c>
      <c r="G183" s="35">
        <v>8</v>
      </c>
      <c r="H183" s="24">
        <v>1</v>
      </c>
    </row>
    <row r="184" ht="16.35" spans="2:8">
      <c r="B184" s="22">
        <v>45314</v>
      </c>
      <c r="C184" s="39">
        <v>0.0669</v>
      </c>
      <c r="D184" s="35">
        <v>420</v>
      </c>
      <c r="E184" s="23">
        <v>17</v>
      </c>
      <c r="F184" s="39">
        <v>0.067</v>
      </c>
      <c r="G184" s="35"/>
      <c r="H184" s="24"/>
    </row>
    <row r="185" ht="16.35" spans="2:8">
      <c r="B185" s="22">
        <v>45315</v>
      </c>
      <c r="C185" s="39">
        <v>0.0664</v>
      </c>
      <c r="D185" s="35">
        <v>438.5</v>
      </c>
      <c r="E185" s="23">
        <v>18</v>
      </c>
      <c r="F185" s="39">
        <v>0.067</v>
      </c>
      <c r="G185" s="35"/>
      <c r="H185" s="24"/>
    </row>
    <row r="186" ht="16.35" spans="2:8">
      <c r="B186" s="22">
        <v>45316</v>
      </c>
      <c r="C186" s="39">
        <v>0.0656</v>
      </c>
      <c r="D186" s="35">
        <v>355</v>
      </c>
      <c r="E186" s="23">
        <v>14</v>
      </c>
      <c r="F186" s="39">
        <v>0.067</v>
      </c>
      <c r="G186" s="35"/>
      <c r="H186" s="24"/>
    </row>
    <row r="187" ht="16.35" spans="2:8">
      <c r="B187" s="22">
        <v>45317</v>
      </c>
      <c r="C187" s="39">
        <v>0.0644</v>
      </c>
      <c r="D187" s="35">
        <v>404</v>
      </c>
      <c r="E187" s="23">
        <v>13</v>
      </c>
      <c r="F187" s="39">
        <v>0.067</v>
      </c>
      <c r="G187" s="35"/>
      <c r="H187" s="24"/>
    </row>
    <row r="188" ht="16.35" spans="2:8">
      <c r="B188" s="22">
        <v>45320</v>
      </c>
      <c r="C188" s="39">
        <v>0.0622</v>
      </c>
      <c r="D188" s="35">
        <v>294</v>
      </c>
      <c r="E188" s="23">
        <v>11</v>
      </c>
      <c r="F188" s="39">
        <v>0.067</v>
      </c>
      <c r="G188" s="35"/>
      <c r="H188" s="24"/>
    </row>
    <row r="189" ht="16.35" spans="2:8">
      <c r="B189" s="22">
        <v>45321</v>
      </c>
      <c r="C189" s="39">
        <v>0.0637</v>
      </c>
      <c r="D189" s="35">
        <v>322</v>
      </c>
      <c r="E189" s="23">
        <v>13</v>
      </c>
      <c r="F189" s="39">
        <v>0.067</v>
      </c>
      <c r="G189" s="35"/>
      <c r="H189" s="24"/>
    </row>
    <row r="190" ht="16.35" spans="2:8">
      <c r="B190" s="22">
        <v>45322</v>
      </c>
      <c r="C190" s="39">
        <v>0.0634</v>
      </c>
      <c r="D190" s="35">
        <v>352</v>
      </c>
      <c r="E190" s="23">
        <v>14</v>
      </c>
      <c r="F190" s="39">
        <v>0.067</v>
      </c>
      <c r="G190" s="35"/>
      <c r="H190" s="24"/>
    </row>
    <row r="191" ht="16.35" spans="2:8">
      <c r="B191" s="22">
        <v>45323</v>
      </c>
      <c r="C191" s="39">
        <v>0.0637</v>
      </c>
      <c r="D191" s="35">
        <v>142</v>
      </c>
      <c r="E191" s="23">
        <v>6</v>
      </c>
      <c r="F191" s="39">
        <v>0.067</v>
      </c>
      <c r="G191" s="35"/>
      <c r="H191" s="24"/>
    </row>
    <row r="192" ht="16.35" spans="2:8">
      <c r="B192" s="22">
        <v>45324</v>
      </c>
      <c r="C192" s="39">
        <v>0.0609</v>
      </c>
      <c r="D192" s="35">
        <v>277</v>
      </c>
      <c r="E192" s="23">
        <v>11</v>
      </c>
      <c r="F192" s="39"/>
      <c r="G192" s="35"/>
      <c r="H192" s="24"/>
    </row>
    <row r="193" ht="16.35" spans="2:8">
      <c r="B193" s="22">
        <v>45327</v>
      </c>
      <c r="C193" s="39">
        <v>0.0606</v>
      </c>
      <c r="D193" s="35">
        <v>252</v>
      </c>
      <c r="E193" s="23">
        <v>10</v>
      </c>
      <c r="F193" s="39"/>
      <c r="G193" s="35"/>
      <c r="H193" s="24"/>
    </row>
    <row r="194" ht="16.35" spans="2:8">
      <c r="B194" s="22">
        <v>45328</v>
      </c>
      <c r="C194" s="39">
        <v>0.0621</v>
      </c>
      <c r="D194" s="35">
        <v>288</v>
      </c>
      <c r="E194" s="23">
        <v>10</v>
      </c>
      <c r="F194" s="39"/>
      <c r="G194" s="35"/>
      <c r="H194" s="24"/>
    </row>
    <row r="195" ht="16.35" spans="2:8">
      <c r="B195" s="22" t="e">
        <f>#REF!</f>
        <v>#REF!</v>
      </c>
      <c r="C195" s="39">
        <v>0.0615</v>
      </c>
      <c r="D195" s="35">
        <v>244</v>
      </c>
      <c r="E195" s="23">
        <v>8</v>
      </c>
      <c r="F195" s="39"/>
      <c r="G195" s="35"/>
      <c r="H195" s="24"/>
    </row>
    <row r="196" ht="16.35" spans="2:8">
      <c r="B196" s="22" t="e">
        <f>#REF!</f>
        <v>#REF!</v>
      </c>
      <c r="C196" s="39">
        <v>0.0624</v>
      </c>
      <c r="D196" s="35">
        <v>314</v>
      </c>
      <c r="E196" s="23">
        <v>12</v>
      </c>
      <c r="F196" s="39"/>
      <c r="G196" s="35"/>
      <c r="H196" s="24"/>
    </row>
    <row r="197" ht="16.35" spans="2:8">
      <c r="B197" s="22" t="e">
        <f>#REF!</f>
        <v>#REF!</v>
      </c>
      <c r="C197" s="39" t="e">
        <f>#REF!</f>
        <v>#REF!</v>
      </c>
      <c r="D197" s="35" t="e">
        <f>#REF!</f>
        <v>#REF!</v>
      </c>
      <c r="E197" s="23" t="e">
        <f>#REF!</f>
        <v>#REF!</v>
      </c>
      <c r="F197" s="49"/>
      <c r="G197" s="49"/>
      <c r="H197" s="50"/>
    </row>
    <row r="198" ht="16.35" spans="2:8">
      <c r="B198" s="22" t="e">
        <f>#REF!</f>
        <v>#REF!</v>
      </c>
      <c r="C198" s="39" t="e">
        <f>#REF!</f>
        <v>#REF!</v>
      </c>
      <c r="D198" s="35" t="e">
        <f>#REF!</f>
        <v>#REF!</v>
      </c>
      <c r="E198" s="23" t="e">
        <f>#REF!</f>
        <v>#REF!</v>
      </c>
      <c r="F198" s="49"/>
      <c r="G198" s="49"/>
      <c r="H198" s="50"/>
    </row>
    <row r="199" ht="16.35" spans="2:8">
      <c r="B199" s="22" t="e">
        <f>#REF!</f>
        <v>#REF!</v>
      </c>
      <c r="C199" s="39" t="e">
        <f>#REF!</f>
        <v>#REF!</v>
      </c>
      <c r="D199" s="35" t="e">
        <f>#REF!</f>
        <v>#REF!</v>
      </c>
      <c r="E199" s="23" t="e">
        <f>#REF!</f>
        <v>#REF!</v>
      </c>
      <c r="F199" s="49"/>
      <c r="G199" s="49"/>
      <c r="H199" s="50"/>
    </row>
    <row r="200" ht="16.35" spans="2:8">
      <c r="B200" s="22" t="e">
        <f>#REF!</f>
        <v>#REF!</v>
      </c>
      <c r="C200" s="39" t="e">
        <f>#REF!</f>
        <v>#REF!</v>
      </c>
      <c r="D200" s="35" t="e">
        <f>#REF!</f>
        <v>#REF!</v>
      </c>
      <c r="E200" s="23" t="e">
        <f>#REF!</f>
        <v>#REF!</v>
      </c>
      <c r="F200" s="49"/>
      <c r="G200" s="49"/>
      <c r="H200" s="50"/>
    </row>
    <row r="201" ht="16.35" spans="2:8">
      <c r="B201" s="22" t="e">
        <f>#REF!</f>
        <v>#REF!</v>
      </c>
      <c r="C201" s="39" t="e">
        <f>#REF!</f>
        <v>#REF!</v>
      </c>
      <c r="D201" s="35" t="e">
        <f>#REF!</f>
        <v>#REF!</v>
      </c>
      <c r="E201" s="23" t="e">
        <f>#REF!</f>
        <v>#REF!</v>
      </c>
      <c r="F201" s="49"/>
      <c r="G201" s="49"/>
      <c r="H201" s="50"/>
    </row>
    <row r="202" ht="16.35" spans="2:8">
      <c r="B202" s="22" t="e">
        <f>#REF!</f>
        <v>#REF!</v>
      </c>
      <c r="C202" s="39" t="e">
        <f>#REF!</f>
        <v>#REF!</v>
      </c>
      <c r="D202" s="35" t="e">
        <f>#REF!</f>
        <v>#REF!</v>
      </c>
      <c r="E202" s="23" t="e">
        <f>#REF!</f>
        <v>#REF!</v>
      </c>
      <c r="F202" s="49"/>
      <c r="G202" s="49"/>
      <c r="H202" s="50"/>
    </row>
    <row r="203" ht="16.35" spans="2:8">
      <c r="B203" s="22" t="e">
        <f>#REF!</f>
        <v>#REF!</v>
      </c>
      <c r="C203" s="39" t="e">
        <f>#REF!</f>
        <v>#REF!</v>
      </c>
      <c r="D203" s="35" t="e">
        <f>#REF!</f>
        <v>#REF!</v>
      </c>
      <c r="E203" s="23" t="e">
        <f>#REF!</f>
        <v>#REF!</v>
      </c>
      <c r="F203" s="49"/>
      <c r="G203" s="49"/>
      <c r="H203" s="50"/>
    </row>
    <row r="204" ht="16.35" spans="2:8">
      <c r="B204" s="22" t="e">
        <f>#REF!</f>
        <v>#REF!</v>
      </c>
      <c r="C204" s="39" t="e">
        <f>#REF!</f>
        <v>#REF!</v>
      </c>
      <c r="D204" s="35" t="e">
        <f>#REF!</f>
        <v>#REF!</v>
      </c>
      <c r="E204" s="23" t="e">
        <f>#REF!</f>
        <v>#REF!</v>
      </c>
      <c r="F204" s="49"/>
      <c r="G204" s="49"/>
      <c r="H204" s="50"/>
    </row>
    <row r="205" ht="16.35" spans="2:8">
      <c r="B205" s="22" t="e">
        <f>#REF!</f>
        <v>#REF!</v>
      </c>
      <c r="C205" s="39" t="e">
        <f>#REF!</f>
        <v>#REF!</v>
      </c>
      <c r="D205" s="35" t="e">
        <f>#REF!</f>
        <v>#REF!</v>
      </c>
      <c r="E205" s="23" t="e">
        <f>#REF!</f>
        <v>#REF!</v>
      </c>
      <c r="F205" s="49"/>
      <c r="G205" s="49"/>
      <c r="H205" s="50"/>
    </row>
    <row r="206" ht="16.35" spans="2:8">
      <c r="B206" s="22" t="e">
        <f>#REF!</f>
        <v>#REF!</v>
      </c>
      <c r="C206" s="39" t="e">
        <f>#REF!</f>
        <v>#REF!</v>
      </c>
      <c r="D206" s="35" t="e">
        <f>#REF!</f>
        <v>#REF!</v>
      </c>
      <c r="E206" s="23" t="e">
        <f>#REF!</f>
        <v>#REF!</v>
      </c>
      <c r="F206" s="49"/>
      <c r="G206" s="49"/>
      <c r="H206" s="50"/>
    </row>
    <row r="207" ht="16.35" spans="2:8">
      <c r="B207" s="22" t="e">
        <f>#REF!</f>
        <v>#REF!</v>
      </c>
      <c r="C207" s="39" t="e">
        <f>#REF!</f>
        <v>#REF!</v>
      </c>
      <c r="D207" s="35" t="e">
        <f>#REF!</f>
        <v>#REF!</v>
      </c>
      <c r="E207" s="23" t="e">
        <f>#REF!</f>
        <v>#REF!</v>
      </c>
      <c r="F207" s="49"/>
      <c r="G207" s="49"/>
      <c r="H207" s="50"/>
    </row>
    <row r="208" ht="16.35" spans="2:8">
      <c r="B208" s="22" t="e">
        <f>#REF!</f>
        <v>#REF!</v>
      </c>
      <c r="C208" s="39" t="e">
        <f>#REF!</f>
        <v>#REF!</v>
      </c>
      <c r="D208" s="35" t="e">
        <f>#REF!</f>
        <v>#REF!</v>
      </c>
      <c r="E208" s="23" t="e">
        <f>#REF!</f>
        <v>#REF!</v>
      </c>
      <c r="F208" s="49"/>
      <c r="G208" s="49"/>
      <c r="H208" s="50"/>
    </row>
    <row r="209" ht="16.35" spans="2:8">
      <c r="B209" s="22" t="e">
        <f>#REF!</f>
        <v>#REF!</v>
      </c>
      <c r="C209" s="39" t="e">
        <f>#REF!</f>
        <v>#REF!</v>
      </c>
      <c r="D209" s="35" t="e">
        <f>#REF!</f>
        <v>#REF!</v>
      </c>
      <c r="E209" s="23" t="e">
        <f>#REF!</f>
        <v>#REF!</v>
      </c>
      <c r="F209" s="49"/>
      <c r="G209" s="49"/>
      <c r="H209" s="50"/>
    </row>
    <row r="210" ht="16.35" spans="2:8">
      <c r="B210" s="22" t="e">
        <f>#REF!</f>
        <v>#REF!</v>
      </c>
      <c r="C210" s="39" t="e">
        <f>#REF!</f>
        <v>#REF!</v>
      </c>
      <c r="D210" s="35" t="e">
        <f>#REF!</f>
        <v>#REF!</v>
      </c>
      <c r="E210" s="23" t="e">
        <f>#REF!</f>
        <v>#REF!</v>
      </c>
      <c r="F210" s="49"/>
      <c r="G210" s="49"/>
      <c r="H210" s="50"/>
    </row>
    <row r="211" ht="16.35" spans="2:21">
      <c r="B211" s="22" t="e">
        <f>#REF!</f>
        <v>#REF!</v>
      </c>
      <c r="C211" s="39" t="e">
        <f>#REF!</f>
        <v>#REF!</v>
      </c>
      <c r="D211" s="35" t="e">
        <f>#REF!</f>
        <v>#REF!</v>
      </c>
      <c r="E211" s="23" t="e">
        <f>#REF!</f>
        <v>#REF!</v>
      </c>
      <c r="F211" s="49"/>
      <c r="G211" s="49"/>
      <c r="H211" s="50"/>
      <c r="K211" s="26" t="s">
        <v>22</v>
      </c>
      <c r="L211" s="27"/>
      <c r="M211" s="27"/>
      <c r="N211" s="27"/>
      <c r="O211" s="27"/>
      <c r="P211" s="27"/>
      <c r="Q211" s="27"/>
      <c r="R211" s="27"/>
      <c r="S211" s="27"/>
      <c r="T211" s="27"/>
      <c r="U211" s="32"/>
    </row>
    <row r="212" ht="16.35" spans="2:21">
      <c r="B212" s="22" t="e">
        <f>#REF!</f>
        <v>#REF!</v>
      </c>
      <c r="C212" s="39" t="e">
        <f>#REF!</f>
        <v>#REF!</v>
      </c>
      <c r="D212" s="35" t="e">
        <f>#REF!</f>
        <v>#REF!</v>
      </c>
      <c r="E212" s="23" t="e">
        <f>#REF!</f>
        <v>#REF!</v>
      </c>
      <c r="F212" s="49"/>
      <c r="G212" s="49"/>
      <c r="H212" s="50"/>
      <c r="K212" s="28"/>
      <c r="L212" s="29"/>
      <c r="M212" s="29"/>
      <c r="N212" s="29"/>
      <c r="O212" s="29"/>
      <c r="P212" s="29"/>
      <c r="Q212" s="29"/>
      <c r="R212" s="29"/>
      <c r="S212" s="29"/>
      <c r="T212" s="29"/>
      <c r="U212" s="33"/>
    </row>
    <row r="213" ht="16.35" spans="2:21">
      <c r="B213" s="22" t="e">
        <f>#REF!</f>
        <v>#REF!</v>
      </c>
      <c r="C213" s="39" t="e">
        <f>#REF!</f>
        <v>#REF!</v>
      </c>
      <c r="D213" s="35" t="e">
        <f>#REF!</f>
        <v>#REF!</v>
      </c>
      <c r="E213" s="23" t="e">
        <f>#REF!</f>
        <v>#REF!</v>
      </c>
      <c r="F213" s="49"/>
      <c r="G213" s="49"/>
      <c r="H213" s="50"/>
      <c r="K213" s="28"/>
      <c r="L213" s="29"/>
      <c r="M213" s="29"/>
      <c r="N213" s="29"/>
      <c r="O213" s="29"/>
      <c r="P213" s="29"/>
      <c r="Q213" s="29"/>
      <c r="R213" s="29"/>
      <c r="S213" s="29"/>
      <c r="T213" s="29"/>
      <c r="U213" s="33"/>
    </row>
    <row r="214" ht="16.35" spans="2:21">
      <c r="B214" s="22" t="e">
        <f>#REF!</f>
        <v>#REF!</v>
      </c>
      <c r="C214" s="39" t="e">
        <f>#REF!</f>
        <v>#REF!</v>
      </c>
      <c r="D214" s="35" t="e">
        <f>#REF!</f>
        <v>#REF!</v>
      </c>
      <c r="E214" s="23" t="e">
        <f>#REF!</f>
        <v>#REF!</v>
      </c>
      <c r="F214" s="49"/>
      <c r="G214" s="49"/>
      <c r="H214" s="50"/>
      <c r="K214" s="28"/>
      <c r="L214" s="29"/>
      <c r="M214" s="29"/>
      <c r="N214" s="29"/>
      <c r="O214" s="29"/>
      <c r="P214" s="29"/>
      <c r="Q214" s="29"/>
      <c r="R214" s="29"/>
      <c r="S214" s="29"/>
      <c r="T214" s="29"/>
      <c r="U214" s="33"/>
    </row>
    <row r="215" ht="16.35" spans="2:21">
      <c r="B215" s="22" t="e">
        <f>#REF!</f>
        <v>#REF!</v>
      </c>
      <c r="C215" s="39" t="e">
        <f>#REF!</f>
        <v>#REF!</v>
      </c>
      <c r="D215" s="35" t="e">
        <f>#REF!</f>
        <v>#REF!</v>
      </c>
      <c r="E215" s="23" t="e">
        <f>#REF!</f>
        <v>#REF!</v>
      </c>
      <c r="F215" s="49" t="e">
        <f>#REF!</f>
        <v>#REF!</v>
      </c>
      <c r="G215" s="49" t="e">
        <f>#REF!</f>
        <v>#REF!</v>
      </c>
      <c r="H215" s="50" t="e">
        <f>#REF!</f>
        <v>#REF!</v>
      </c>
      <c r="K215" s="30"/>
      <c r="L215" s="31"/>
      <c r="M215" s="31"/>
      <c r="N215" s="31"/>
      <c r="O215" s="31"/>
      <c r="P215" s="31"/>
      <c r="Q215" s="31"/>
      <c r="R215" s="31"/>
      <c r="S215" s="31"/>
      <c r="T215" s="31"/>
      <c r="U215" s="34"/>
    </row>
  </sheetData>
  <mergeCells count="4">
    <mergeCell ref="C2:E2"/>
    <mergeCell ref="F2:H2"/>
    <mergeCell ref="B2:B3"/>
    <mergeCell ref="K211:U215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35"/>
  <sheetViews>
    <sheetView workbookViewId="0">
      <pane xSplit="1" ySplit="2" topLeftCell="B202" activePane="bottomRight" state="frozen"/>
      <selection/>
      <selection pane="topRight"/>
      <selection pane="bottomLeft"/>
      <selection pane="bottomRight" activeCell="D212" sqref="D212:D213"/>
    </sheetView>
  </sheetViews>
  <sheetFormatPr defaultColWidth="9" defaultRowHeight="14.4"/>
  <cols>
    <col min="1" max="1" width="3.13888888888889" customWidth="1"/>
    <col min="2" max="2" width="16.5740740740741" customWidth="1"/>
    <col min="3" max="3" width="14.5740740740741" customWidth="1"/>
    <col min="4" max="4" width="15.4259259259259" customWidth="1"/>
  </cols>
  <sheetData>
    <row r="1" ht="15.15"/>
    <row r="2" ht="21" customHeight="1" spans="2:4">
      <c r="B2" s="19" t="s">
        <v>13</v>
      </c>
      <c r="C2" s="20" t="s">
        <v>17</v>
      </c>
      <c r="D2" s="21" t="s">
        <v>18</v>
      </c>
    </row>
    <row r="3" ht="16.5" customHeight="1" spans="2:4">
      <c r="B3" s="22">
        <v>45047</v>
      </c>
      <c r="C3" s="39">
        <v>0.0496928251121076</v>
      </c>
      <c r="D3" s="40"/>
    </row>
    <row r="4" ht="16.35" spans="2:4">
      <c r="B4" s="22">
        <v>45048</v>
      </c>
      <c r="C4" s="39">
        <v>0.0494</v>
      </c>
      <c r="D4" s="40">
        <v>0.0549</v>
      </c>
    </row>
    <row r="5" ht="16.35" spans="2:4">
      <c r="B5" s="22">
        <v>45049</v>
      </c>
      <c r="C5" s="39">
        <v>0.0493</v>
      </c>
      <c r="D5" s="40">
        <v>0.0549</v>
      </c>
    </row>
    <row r="6" ht="16.35" spans="2:4">
      <c r="B6" s="22">
        <v>45050</v>
      </c>
      <c r="C6" s="39">
        <v>0.0535</v>
      </c>
      <c r="D6" s="40">
        <v>0.0575</v>
      </c>
    </row>
    <row r="7" ht="16.35" spans="2:4">
      <c r="B7" s="22">
        <v>45051</v>
      </c>
      <c r="C7" s="39">
        <v>0.0538</v>
      </c>
      <c r="D7" s="40">
        <v>0.0575</v>
      </c>
    </row>
    <row r="8" ht="16.35" spans="2:4">
      <c r="B8" s="22">
        <v>45054</v>
      </c>
      <c r="C8" s="39">
        <v>0.0535</v>
      </c>
      <c r="D8" s="40">
        <v>0.0575</v>
      </c>
    </row>
    <row r="9" ht="16.35" spans="2:4">
      <c r="B9" s="22">
        <v>45056</v>
      </c>
      <c r="C9" s="39">
        <v>0.0535</v>
      </c>
      <c r="D9" s="40">
        <v>0.0593</v>
      </c>
    </row>
    <row r="10" ht="16.35" spans="2:4">
      <c r="B10" s="22">
        <v>45057</v>
      </c>
      <c r="C10" s="39">
        <v>0.0537</v>
      </c>
      <c r="D10" s="40">
        <v>0.0593</v>
      </c>
    </row>
    <row r="11" ht="16.35" spans="2:4">
      <c r="B11" s="22">
        <v>45058</v>
      </c>
      <c r="C11" s="39">
        <v>0.0534</v>
      </c>
      <c r="D11" s="40">
        <v>0.0575</v>
      </c>
    </row>
    <row r="12" ht="16.35" spans="2:4">
      <c r="B12" s="22">
        <v>45061</v>
      </c>
      <c r="C12" s="39">
        <v>0.0538</v>
      </c>
      <c r="D12" s="40">
        <v>0.0575</v>
      </c>
    </row>
    <row r="13" ht="16.35" spans="2:4">
      <c r="B13" s="22">
        <v>45062</v>
      </c>
      <c r="C13" s="39">
        <v>0.0539</v>
      </c>
      <c r="D13" s="40">
        <v>0.0575</v>
      </c>
    </row>
    <row r="14" ht="16.35" spans="2:4">
      <c r="B14" s="22">
        <v>45063</v>
      </c>
      <c r="C14" s="39">
        <v>0.054</v>
      </c>
      <c r="D14" s="40">
        <v>0.0593</v>
      </c>
    </row>
    <row r="15" ht="16.35" spans="2:4">
      <c r="B15" s="22">
        <v>45064</v>
      </c>
      <c r="C15" s="39">
        <v>0.054</v>
      </c>
      <c r="D15" s="40">
        <v>0.0593</v>
      </c>
    </row>
    <row r="16" ht="16.35" spans="2:4">
      <c r="B16" s="22">
        <v>45065</v>
      </c>
      <c r="C16" s="39">
        <v>0.0536</v>
      </c>
      <c r="D16" s="40">
        <v>0.0593</v>
      </c>
    </row>
    <row r="17" ht="16.35" spans="2:4">
      <c r="B17" s="22">
        <v>45068</v>
      </c>
      <c r="C17" s="39">
        <v>0.0532</v>
      </c>
      <c r="D17" s="40">
        <v>0.0593</v>
      </c>
    </row>
    <row r="18" ht="16.35" spans="2:4">
      <c r="B18" s="22">
        <v>45069</v>
      </c>
      <c r="C18" s="39">
        <v>0.0538</v>
      </c>
      <c r="D18" s="40">
        <v>0.0593</v>
      </c>
    </row>
    <row r="19" ht="16.35" spans="2:4">
      <c r="B19" s="22">
        <v>45070</v>
      </c>
      <c r="C19" s="39">
        <v>0.055</v>
      </c>
      <c r="D19" s="40">
        <v>0.0575</v>
      </c>
    </row>
    <row r="20" ht="16.35" spans="2:4">
      <c r="B20" s="22">
        <v>45071</v>
      </c>
      <c r="C20" s="39">
        <v>0.0546</v>
      </c>
      <c r="D20" s="40">
        <v>0.0575</v>
      </c>
    </row>
    <row r="21" ht="16.35" spans="2:4">
      <c r="B21" s="22">
        <v>45072</v>
      </c>
      <c r="C21" s="39">
        <v>0.0546</v>
      </c>
      <c r="D21" s="40">
        <v>0.0575</v>
      </c>
    </row>
    <row r="22" ht="16.35" spans="2:4">
      <c r="B22" s="22">
        <v>45076</v>
      </c>
      <c r="C22" s="39">
        <v>0.0544</v>
      </c>
      <c r="D22" s="40">
        <v>0.0575</v>
      </c>
    </row>
    <row r="23" ht="15" customHeight="1" spans="2:15">
      <c r="B23" s="22">
        <v>45077</v>
      </c>
      <c r="C23" s="39">
        <v>0.0546</v>
      </c>
      <c r="D23" s="40">
        <v>0.0575</v>
      </c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ht="18" customHeight="1" spans="2:15">
      <c r="B24" s="22">
        <v>45078</v>
      </c>
      <c r="C24" s="39">
        <v>0.054</v>
      </c>
      <c r="D24" s="40">
        <v>0.0575</v>
      </c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ht="15" customHeight="1" spans="2:15">
      <c r="B25" s="22">
        <v>45079</v>
      </c>
      <c r="C25" s="39">
        <v>0.0545</v>
      </c>
      <c r="D25" s="40">
        <v>0.0575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ht="15" customHeight="1" spans="2:15">
      <c r="B26" s="22">
        <v>45082</v>
      </c>
      <c r="C26" s="39">
        <v>0.0548</v>
      </c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ht="16.5" customHeight="1" spans="2:15">
      <c r="B27" s="22">
        <v>45083</v>
      </c>
      <c r="C27" s="39">
        <v>0.0553</v>
      </c>
      <c r="D27" s="40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ht="16.35" spans="2:4">
      <c r="B28" s="22">
        <v>45084</v>
      </c>
      <c r="C28" s="39">
        <v>0.0545</v>
      </c>
      <c r="D28" s="40">
        <v>0.0575</v>
      </c>
    </row>
    <row r="29" ht="16.35" spans="2:4">
      <c r="B29" s="22">
        <v>45085</v>
      </c>
      <c r="C29" s="39">
        <v>0.0558</v>
      </c>
      <c r="D29" s="40">
        <v>0.0575</v>
      </c>
    </row>
    <row r="30" ht="16.35" spans="2:4">
      <c r="B30" s="22">
        <v>45086</v>
      </c>
      <c r="C30" s="39">
        <v>0.0556</v>
      </c>
      <c r="D30" s="40">
        <v>0.0575</v>
      </c>
    </row>
    <row r="31" ht="16.35" spans="2:4">
      <c r="B31" s="22">
        <v>45089</v>
      </c>
      <c r="C31" s="39">
        <v>0.0557</v>
      </c>
      <c r="D31" s="40">
        <v>0.0575</v>
      </c>
    </row>
    <row r="32" ht="16.35" spans="2:4">
      <c r="B32" s="22">
        <v>45090</v>
      </c>
      <c r="C32" s="39">
        <v>0.0565</v>
      </c>
      <c r="D32" s="40">
        <v>0.0575</v>
      </c>
    </row>
    <row r="33" ht="16.35" spans="2:4">
      <c r="B33" s="22">
        <v>45091</v>
      </c>
      <c r="C33" s="39">
        <v>0.0558</v>
      </c>
      <c r="D33" s="40">
        <v>0.0575</v>
      </c>
    </row>
    <row r="34" ht="16.35" spans="2:4">
      <c r="B34" s="22">
        <v>45093</v>
      </c>
      <c r="C34" s="39">
        <v>0.0558</v>
      </c>
      <c r="D34" s="40">
        <v>0.0575</v>
      </c>
    </row>
    <row r="35" ht="16.35" spans="2:4">
      <c r="B35" s="22">
        <v>45096</v>
      </c>
      <c r="C35" s="39">
        <v>0.0564</v>
      </c>
      <c r="D35" s="40">
        <v>0.0575</v>
      </c>
    </row>
    <row r="36" ht="16.35" spans="2:4">
      <c r="B36" s="22">
        <v>45097</v>
      </c>
      <c r="C36" s="39">
        <v>0.0564</v>
      </c>
      <c r="D36" s="40">
        <v>0.0575</v>
      </c>
    </row>
    <row r="37" ht="16.35" spans="2:4">
      <c r="B37" s="22">
        <v>45098</v>
      </c>
      <c r="C37" s="39">
        <v>0.0565</v>
      </c>
      <c r="D37" s="40">
        <v>0.0575</v>
      </c>
    </row>
    <row r="38" ht="16.35" spans="2:4">
      <c r="B38" s="22">
        <v>45099</v>
      </c>
      <c r="C38" s="39">
        <v>0.0563</v>
      </c>
      <c r="D38" s="40">
        <v>0.0575</v>
      </c>
    </row>
    <row r="39" ht="16.35" spans="2:4">
      <c r="B39" s="22">
        <v>45100</v>
      </c>
      <c r="C39" s="39">
        <v>0.0564</v>
      </c>
      <c r="D39" s="40">
        <v>0.0575</v>
      </c>
    </row>
    <row r="40" ht="16.35" spans="2:4">
      <c r="B40" s="22">
        <v>45101</v>
      </c>
      <c r="C40" s="39">
        <v>0.0563</v>
      </c>
      <c r="D40" s="40"/>
    </row>
    <row r="41" ht="16.35" spans="2:4">
      <c r="B41" s="22">
        <v>45102</v>
      </c>
      <c r="C41" s="39">
        <v>0.0563</v>
      </c>
      <c r="D41" s="40">
        <v>0.0517</v>
      </c>
    </row>
    <row r="42" ht="16.35" spans="2:4">
      <c r="B42" s="22">
        <v>45110</v>
      </c>
      <c r="C42" s="39">
        <v>0.0567</v>
      </c>
      <c r="D42" s="40">
        <v>0.0575</v>
      </c>
    </row>
    <row r="43" ht="16.35" spans="2:4">
      <c r="B43" s="22">
        <v>45111</v>
      </c>
      <c r="C43" s="39">
        <v>0.0564</v>
      </c>
      <c r="D43" s="40">
        <v>0.0575</v>
      </c>
    </row>
    <row r="44" ht="16.35" spans="2:4">
      <c r="B44" s="22">
        <v>45112</v>
      </c>
      <c r="C44" s="39">
        <v>0.056</v>
      </c>
      <c r="D44" s="40">
        <v>0.0575</v>
      </c>
    </row>
    <row r="45" ht="16.35" spans="2:4">
      <c r="B45" s="22">
        <v>45113</v>
      </c>
      <c r="C45" s="39">
        <v>0.0567</v>
      </c>
      <c r="D45" s="40">
        <v>0.0575</v>
      </c>
    </row>
    <row r="46" ht="16.35" spans="2:4">
      <c r="B46" s="22">
        <v>45114</v>
      </c>
      <c r="C46" s="39">
        <v>0.0563</v>
      </c>
      <c r="D46" s="40">
        <v>0.0575</v>
      </c>
    </row>
    <row r="47" ht="16.35" spans="2:4">
      <c r="B47" s="22">
        <v>45117</v>
      </c>
      <c r="C47" s="39">
        <v>0.0558</v>
      </c>
      <c r="D47" s="40">
        <v>0.0575</v>
      </c>
    </row>
    <row r="48" ht="16.35" spans="2:4">
      <c r="B48" s="22">
        <v>45118</v>
      </c>
      <c r="C48" s="39">
        <v>0.0563</v>
      </c>
      <c r="D48" s="40">
        <v>0.0575</v>
      </c>
    </row>
    <row r="49" ht="16.35" spans="2:4">
      <c r="B49" s="22">
        <v>45119</v>
      </c>
      <c r="C49" s="39">
        <v>0.0567</v>
      </c>
      <c r="D49" s="40">
        <v>0.0575</v>
      </c>
    </row>
    <row r="50" ht="16.35" spans="2:4">
      <c r="B50" s="22">
        <v>45120</v>
      </c>
      <c r="C50" s="39">
        <v>0.0564</v>
      </c>
      <c r="D50" s="40">
        <v>0.0575</v>
      </c>
    </row>
    <row r="51" ht="16.35" spans="2:4">
      <c r="B51" s="22">
        <v>45121</v>
      </c>
      <c r="C51" s="39">
        <v>0.0568</v>
      </c>
      <c r="D51" s="40">
        <v>0.0575</v>
      </c>
    </row>
    <row r="52" ht="16.35" spans="2:4">
      <c r="B52" s="22">
        <v>45124</v>
      </c>
      <c r="C52" s="39">
        <v>0.0559</v>
      </c>
      <c r="D52" s="40">
        <v>0.0575</v>
      </c>
    </row>
    <row r="53" ht="16.35" spans="2:4">
      <c r="B53" s="22">
        <v>45125</v>
      </c>
      <c r="C53" s="39">
        <v>0.056</v>
      </c>
      <c r="D53" s="40">
        <v>0.0575</v>
      </c>
    </row>
    <row r="54" ht="16.35" spans="2:4">
      <c r="B54" s="22">
        <v>45126</v>
      </c>
      <c r="C54" s="39">
        <v>0.0569</v>
      </c>
      <c r="D54" s="40">
        <v>0.0575</v>
      </c>
    </row>
    <row r="55" ht="16.35" spans="2:4">
      <c r="B55" s="22">
        <v>45127</v>
      </c>
      <c r="C55" s="39">
        <v>0.0566</v>
      </c>
      <c r="D55" s="40">
        <v>0.0575</v>
      </c>
    </row>
    <row r="56" ht="16.35" spans="2:4">
      <c r="B56" s="22">
        <v>45128</v>
      </c>
      <c r="C56" s="39">
        <v>0.0571</v>
      </c>
      <c r="D56" s="40">
        <v>0.0575</v>
      </c>
    </row>
    <row r="57" ht="16.35" spans="2:4">
      <c r="B57" s="22">
        <v>45131</v>
      </c>
      <c r="C57" s="39">
        <v>0.0572</v>
      </c>
      <c r="D57" s="40">
        <v>0.0575</v>
      </c>
    </row>
    <row r="58" ht="16.35" spans="2:4">
      <c r="B58" s="22">
        <v>45132</v>
      </c>
      <c r="C58" s="39">
        <v>0.0568</v>
      </c>
      <c r="D58" s="40">
        <v>0.0575</v>
      </c>
    </row>
    <row r="59" ht="16.35" spans="2:4">
      <c r="B59" s="22">
        <v>45133</v>
      </c>
      <c r="C59" s="39">
        <v>0.0569</v>
      </c>
      <c r="D59" s="40">
        <v>0.0575</v>
      </c>
    </row>
    <row r="60" ht="16.35" spans="2:4">
      <c r="B60" s="22">
        <v>45134</v>
      </c>
      <c r="C60" s="39">
        <v>0.056</v>
      </c>
      <c r="D60" s="40">
        <v>0.0575</v>
      </c>
    </row>
    <row r="61" ht="16.35" spans="2:4">
      <c r="B61" s="22">
        <v>45135</v>
      </c>
      <c r="C61" s="39">
        <v>0.0553</v>
      </c>
      <c r="D61" s="40">
        <v>0.0575</v>
      </c>
    </row>
    <row r="62" ht="16.35" spans="2:4">
      <c r="B62" s="22">
        <v>45138</v>
      </c>
      <c r="C62" s="39">
        <v>0.0564</v>
      </c>
      <c r="D62" s="40">
        <v>0.0575</v>
      </c>
    </row>
    <row r="63" ht="16.35" spans="2:4">
      <c r="B63" s="22">
        <v>45139</v>
      </c>
      <c r="C63" s="39">
        <v>0.0563</v>
      </c>
      <c r="D63" s="40">
        <v>0.0575</v>
      </c>
    </row>
    <row r="64" ht="16.35" spans="2:4">
      <c r="B64" s="22">
        <v>45140</v>
      </c>
      <c r="C64" s="39">
        <v>0.0559</v>
      </c>
      <c r="D64" s="40">
        <v>0.0575</v>
      </c>
    </row>
    <row r="65" ht="16.35" spans="2:4">
      <c r="B65" s="22">
        <v>45141</v>
      </c>
      <c r="C65" s="39">
        <v>0.0564</v>
      </c>
      <c r="D65" s="40"/>
    </row>
    <row r="66" ht="16.35" spans="2:4">
      <c r="B66" s="22">
        <v>45142</v>
      </c>
      <c r="C66" s="39">
        <v>0.0565</v>
      </c>
      <c r="D66" s="40"/>
    </row>
    <row r="67" ht="16.35" spans="2:4">
      <c r="B67" s="22">
        <v>45145</v>
      </c>
      <c r="C67" s="39">
        <v>0.0567</v>
      </c>
      <c r="D67" s="40"/>
    </row>
    <row r="68" ht="16.35" spans="2:4">
      <c r="B68" s="22">
        <v>45146</v>
      </c>
      <c r="C68" s="39">
        <v>0.0569</v>
      </c>
      <c r="D68" s="40"/>
    </row>
    <row r="69" ht="16.35" spans="2:4">
      <c r="B69" s="22">
        <v>45147</v>
      </c>
      <c r="C69" s="39">
        <v>0.0576</v>
      </c>
      <c r="D69" s="40"/>
    </row>
    <row r="70" ht="16.35" spans="2:4">
      <c r="B70" s="22">
        <v>45148</v>
      </c>
      <c r="C70" s="39">
        <v>0.0566</v>
      </c>
      <c r="D70" s="40"/>
    </row>
    <row r="71" ht="16.35" spans="2:4">
      <c r="B71" s="22">
        <v>45149</v>
      </c>
      <c r="C71" s="39">
        <v>0.0571</v>
      </c>
      <c r="D71" s="40"/>
    </row>
    <row r="72" ht="16.35" spans="2:4">
      <c r="B72" s="22">
        <v>45152</v>
      </c>
      <c r="C72" s="39">
        <v>0.0568</v>
      </c>
      <c r="D72" s="40"/>
    </row>
    <row r="73" ht="16.35" spans="2:4">
      <c r="B73" s="22">
        <v>45153</v>
      </c>
      <c r="C73" s="39">
        <v>0.0601</v>
      </c>
      <c r="D73" s="40"/>
    </row>
    <row r="74" ht="16.35" spans="2:4">
      <c r="B74" s="22">
        <v>45154</v>
      </c>
      <c r="C74" s="39">
        <v>0.0597</v>
      </c>
      <c r="D74" s="40"/>
    </row>
    <row r="75" ht="16.35" spans="2:4">
      <c r="B75" s="22">
        <v>45155</v>
      </c>
      <c r="C75" s="39">
        <v>0.0594</v>
      </c>
      <c r="D75" s="40"/>
    </row>
    <row r="76" ht="16.35" spans="2:4">
      <c r="B76" s="22">
        <v>45156</v>
      </c>
      <c r="C76" s="39">
        <v>0.0595</v>
      </c>
      <c r="D76" s="40"/>
    </row>
    <row r="77" ht="16.35" spans="2:4">
      <c r="B77" s="22">
        <v>45159</v>
      </c>
      <c r="C77" s="39">
        <v>0.0594</v>
      </c>
      <c r="D77" s="40"/>
    </row>
    <row r="78" ht="16.35" spans="2:4">
      <c r="B78" s="22">
        <v>45160</v>
      </c>
      <c r="C78" s="39">
        <v>0.0594</v>
      </c>
      <c r="D78" s="40"/>
    </row>
    <row r="79" ht="16.35" spans="2:4">
      <c r="B79" s="22">
        <v>45161</v>
      </c>
      <c r="C79" s="39">
        <v>0.059</v>
      </c>
      <c r="D79" s="40"/>
    </row>
    <row r="80" ht="16.35" spans="2:4">
      <c r="B80" s="22">
        <v>45162</v>
      </c>
      <c r="C80" s="39">
        <v>0.0589</v>
      </c>
      <c r="D80" s="40"/>
    </row>
    <row r="81" ht="16.35" spans="2:4">
      <c r="B81" s="22">
        <v>45163</v>
      </c>
      <c r="C81" s="39">
        <v>0.0595</v>
      </c>
      <c r="D81" s="40"/>
    </row>
    <row r="82" ht="16.35" spans="2:4">
      <c r="B82" s="22">
        <v>45166</v>
      </c>
      <c r="C82" s="39">
        <v>0.0593</v>
      </c>
      <c r="D82" s="40"/>
    </row>
    <row r="83" ht="16.35" spans="2:4">
      <c r="B83" s="22">
        <v>45167</v>
      </c>
      <c r="C83" s="39">
        <v>0.0592</v>
      </c>
      <c r="D83" s="40"/>
    </row>
    <row r="84" ht="16.35" spans="2:4">
      <c r="B84" s="22">
        <v>45168</v>
      </c>
      <c r="C84" s="39">
        <v>0.059</v>
      </c>
      <c r="D84" s="40"/>
    </row>
    <row r="85" ht="16.35" spans="2:4">
      <c r="B85" s="22">
        <v>45169</v>
      </c>
      <c r="C85" s="39">
        <v>0.0595</v>
      </c>
      <c r="D85" s="40"/>
    </row>
    <row r="86" ht="16.35" spans="2:4">
      <c r="B86" s="22">
        <v>45170</v>
      </c>
      <c r="C86" s="39">
        <v>0.0588</v>
      </c>
      <c r="D86" s="40"/>
    </row>
    <row r="87" ht="16.35" spans="2:4">
      <c r="B87" s="22">
        <v>45173</v>
      </c>
      <c r="C87" s="39">
        <v>0.0591</v>
      </c>
      <c r="D87" s="40"/>
    </row>
    <row r="88" ht="16.35" spans="2:4">
      <c r="B88" s="22">
        <v>45174</v>
      </c>
      <c r="C88" s="39">
        <v>0.0593</v>
      </c>
      <c r="D88" s="40"/>
    </row>
    <row r="89" ht="16.35" spans="2:4">
      <c r="B89" s="22">
        <v>45175</v>
      </c>
      <c r="C89" s="39">
        <v>0.0591</v>
      </c>
      <c r="D89" s="40"/>
    </row>
    <row r="90" ht="16.35" spans="2:4">
      <c r="B90" s="22">
        <v>45176</v>
      </c>
      <c r="C90" s="39">
        <v>0.0593</v>
      </c>
      <c r="D90" s="40"/>
    </row>
    <row r="91" ht="16.35" spans="2:4">
      <c r="B91" s="22">
        <v>45177</v>
      </c>
      <c r="C91" s="39">
        <v>0.0592</v>
      </c>
      <c r="D91" s="40"/>
    </row>
    <row r="92" ht="16.35" spans="2:4">
      <c r="B92" s="22">
        <v>45180</v>
      </c>
      <c r="C92" s="39">
        <v>0.06</v>
      </c>
      <c r="D92" s="40"/>
    </row>
    <row r="93" ht="16.35" spans="2:4">
      <c r="B93" s="22">
        <v>45181</v>
      </c>
      <c r="C93" s="39">
        <v>0.06</v>
      </c>
      <c r="D93" s="40"/>
    </row>
    <row r="94" ht="16.35" spans="2:4">
      <c r="B94" s="22">
        <v>45182</v>
      </c>
      <c r="C94" s="39">
        <v>0.06</v>
      </c>
      <c r="D94" s="40"/>
    </row>
    <row r="95" ht="16.35" spans="2:4">
      <c r="B95" s="22">
        <v>45183</v>
      </c>
      <c r="C95" s="39">
        <v>0.06</v>
      </c>
      <c r="D95" s="40"/>
    </row>
    <row r="96" ht="16.35" spans="2:4">
      <c r="B96" s="22">
        <v>45184</v>
      </c>
      <c r="C96" s="39">
        <v>0.06</v>
      </c>
      <c r="D96" s="40"/>
    </row>
    <row r="97" ht="16.35" spans="2:4">
      <c r="B97" s="22">
        <v>45187</v>
      </c>
      <c r="C97" s="39">
        <v>0.06</v>
      </c>
      <c r="D97" s="40"/>
    </row>
    <row r="98" ht="16.35" spans="2:4">
      <c r="B98" s="22">
        <v>45188</v>
      </c>
      <c r="C98" s="39">
        <v>0.06</v>
      </c>
      <c r="D98" s="40"/>
    </row>
    <row r="99" ht="16.35" spans="2:4">
      <c r="B99" s="22">
        <v>45189</v>
      </c>
      <c r="C99" s="39">
        <v>0.06</v>
      </c>
      <c r="D99" s="40"/>
    </row>
    <row r="100" ht="16.35" spans="2:4">
      <c r="B100" s="22">
        <v>45190</v>
      </c>
      <c r="C100" s="39"/>
      <c r="D100" s="40"/>
    </row>
    <row r="101" ht="16.35" spans="2:4">
      <c r="B101" s="22">
        <v>45191</v>
      </c>
      <c r="C101" s="39"/>
      <c r="D101" s="40"/>
    </row>
    <row r="102" ht="16.35" spans="2:4">
      <c r="B102" s="22">
        <v>45194</v>
      </c>
      <c r="C102" s="39"/>
      <c r="D102" s="40"/>
    </row>
    <row r="103" ht="16.35" spans="2:4">
      <c r="B103" s="22">
        <v>45195</v>
      </c>
      <c r="C103" s="39"/>
      <c r="D103" s="40"/>
    </row>
    <row r="104" ht="16.35" spans="2:4">
      <c r="B104" s="22">
        <v>45196</v>
      </c>
      <c r="C104" s="39"/>
      <c r="D104" s="40"/>
    </row>
    <row r="105" ht="16.35" spans="2:4">
      <c r="B105" s="22">
        <v>45197</v>
      </c>
      <c r="C105" s="39"/>
      <c r="D105" s="40"/>
    </row>
    <row r="106" ht="16.35" spans="2:4">
      <c r="B106" s="22">
        <v>45198</v>
      </c>
      <c r="C106" s="39"/>
      <c r="D106" s="40"/>
    </row>
    <row r="107" ht="16.35" spans="2:4">
      <c r="B107" s="22">
        <v>45201</v>
      </c>
      <c r="C107" s="39"/>
      <c r="D107" s="40"/>
    </row>
    <row r="108" ht="16.35" spans="2:4">
      <c r="B108" s="22">
        <v>45202</v>
      </c>
      <c r="C108" s="39"/>
      <c r="D108" s="40"/>
    </row>
    <row r="109" ht="16.35" spans="2:4">
      <c r="B109" s="22">
        <v>45203</v>
      </c>
      <c r="C109" s="39"/>
      <c r="D109" s="40"/>
    </row>
    <row r="110" ht="16.35" spans="2:4">
      <c r="B110" s="22">
        <v>45204</v>
      </c>
      <c r="C110" s="39"/>
      <c r="D110" s="40"/>
    </row>
    <row r="111" ht="16.35" spans="2:4">
      <c r="B111" s="22">
        <v>45205</v>
      </c>
      <c r="C111" s="39"/>
      <c r="D111" s="40"/>
    </row>
    <row r="112" ht="16.35" spans="2:4">
      <c r="B112" s="22">
        <v>45208</v>
      </c>
      <c r="C112" s="39"/>
      <c r="D112" s="40"/>
    </row>
    <row r="113" ht="16.35" spans="2:4">
      <c r="B113" s="22">
        <v>45209</v>
      </c>
      <c r="C113" s="39"/>
      <c r="D113" s="40"/>
    </row>
    <row r="114" ht="16.35" spans="2:4">
      <c r="B114" s="22">
        <v>45210</v>
      </c>
      <c r="C114" s="39"/>
      <c r="D114" s="40"/>
    </row>
    <row r="115" ht="16.35" spans="2:4">
      <c r="B115" s="22">
        <v>45211</v>
      </c>
      <c r="C115" s="39">
        <v>0.055</v>
      </c>
      <c r="D115" s="40"/>
    </row>
    <row r="116" ht="16.35" spans="2:4">
      <c r="B116" s="22">
        <v>45212</v>
      </c>
      <c r="C116" s="39">
        <v>0.055</v>
      </c>
      <c r="D116" s="40"/>
    </row>
    <row r="117" ht="16.35" spans="2:4">
      <c r="B117" s="22">
        <v>45215</v>
      </c>
      <c r="C117" s="39">
        <v>0.055</v>
      </c>
      <c r="D117" s="40"/>
    </row>
    <row r="118" ht="16.35" spans="2:4">
      <c r="B118" s="22">
        <v>45216</v>
      </c>
      <c r="C118" s="39">
        <v>0.055</v>
      </c>
      <c r="D118" s="40"/>
    </row>
    <row r="119" ht="16.35" spans="2:4">
      <c r="B119" s="22">
        <v>45217</v>
      </c>
      <c r="C119" s="39">
        <v>0.055</v>
      </c>
      <c r="D119" s="40"/>
    </row>
    <row r="120" ht="16.35" spans="2:4">
      <c r="B120" s="22">
        <v>45218</v>
      </c>
      <c r="C120" s="39">
        <v>0.055</v>
      </c>
      <c r="D120" s="40"/>
    </row>
    <row r="121" ht="16.35" spans="2:4">
      <c r="B121" s="22">
        <v>45219</v>
      </c>
      <c r="C121" s="39">
        <v>0.055</v>
      </c>
      <c r="D121" s="40"/>
    </row>
    <row r="122" ht="16.35" spans="2:4">
      <c r="B122" s="22">
        <v>45222</v>
      </c>
      <c r="C122" s="39"/>
      <c r="D122" s="40"/>
    </row>
    <row r="123" ht="16.35" spans="2:4">
      <c r="B123" s="22">
        <v>45223</v>
      </c>
      <c r="C123" s="39"/>
      <c r="D123" s="40"/>
    </row>
    <row r="124" ht="16.35" spans="2:4">
      <c r="B124" s="22">
        <v>45224</v>
      </c>
      <c r="C124" s="39"/>
      <c r="D124" s="40"/>
    </row>
    <row r="125" ht="16.35" spans="2:4">
      <c r="B125" s="22">
        <v>45225</v>
      </c>
      <c r="C125" s="39"/>
      <c r="D125" s="40"/>
    </row>
    <row r="126" ht="16.35" spans="2:4">
      <c r="B126" s="22">
        <v>45226</v>
      </c>
      <c r="C126" s="39"/>
      <c r="D126" s="40"/>
    </row>
    <row r="127" ht="16.35" spans="2:4">
      <c r="B127" s="22">
        <v>45229</v>
      </c>
      <c r="C127" s="39"/>
      <c r="D127" s="40"/>
    </row>
    <row r="128" ht="16.35" spans="2:4">
      <c r="B128" s="22">
        <v>45230</v>
      </c>
      <c r="C128" s="39"/>
      <c r="D128" s="40"/>
    </row>
    <row r="129" ht="16.35" spans="2:4">
      <c r="B129" s="22">
        <v>45231</v>
      </c>
      <c r="C129" s="39"/>
      <c r="D129" s="40"/>
    </row>
    <row r="130" ht="16.35" spans="2:4">
      <c r="B130" s="22">
        <v>45232</v>
      </c>
      <c r="C130" s="39"/>
      <c r="D130" s="40"/>
    </row>
    <row r="131" ht="16.35" spans="2:4">
      <c r="B131" s="22">
        <v>45233</v>
      </c>
      <c r="C131" s="39"/>
      <c r="D131" s="40"/>
    </row>
    <row r="132" ht="16.35" spans="2:4">
      <c r="B132" s="22">
        <v>45234</v>
      </c>
      <c r="C132" s="39"/>
      <c r="D132" s="40"/>
    </row>
    <row r="133" ht="16.35" spans="2:4">
      <c r="B133" s="22">
        <v>45236</v>
      </c>
      <c r="C133" s="39"/>
      <c r="D133" s="40"/>
    </row>
    <row r="134" ht="16.35" spans="2:4">
      <c r="B134" s="22">
        <v>45237</v>
      </c>
      <c r="C134" s="39"/>
      <c r="D134" s="40"/>
    </row>
    <row r="135" ht="16.35" spans="2:4">
      <c r="B135" s="22">
        <v>45243</v>
      </c>
      <c r="C135" s="39"/>
      <c r="D135" s="40"/>
    </row>
    <row r="136" ht="16.35" spans="2:4">
      <c r="B136" s="22">
        <v>45244</v>
      </c>
      <c r="C136" s="39"/>
      <c r="D136" s="40"/>
    </row>
    <row r="137" ht="16.35" spans="2:4">
      <c r="B137" s="22">
        <v>45245</v>
      </c>
      <c r="C137" s="39"/>
      <c r="D137" s="40"/>
    </row>
    <row r="138" ht="16.35" spans="2:4">
      <c r="B138" s="22">
        <v>45246</v>
      </c>
      <c r="C138" s="39"/>
      <c r="D138" s="40"/>
    </row>
    <row r="139" ht="16.35" spans="2:4">
      <c r="B139" s="22">
        <v>45247</v>
      </c>
      <c r="C139" s="39">
        <v>0.0718</v>
      </c>
      <c r="D139" s="40"/>
    </row>
    <row r="140" ht="16.35" spans="2:4">
      <c r="B140" s="22">
        <v>45250</v>
      </c>
      <c r="C140" s="39">
        <v>0.071</v>
      </c>
      <c r="D140" s="40"/>
    </row>
    <row r="141" ht="16.35" spans="2:4">
      <c r="B141" s="22">
        <v>45251</v>
      </c>
      <c r="C141" s="39">
        <v>0.071</v>
      </c>
      <c r="D141" s="40"/>
    </row>
    <row r="142" ht="16.35" spans="2:4">
      <c r="B142" s="22">
        <v>45252</v>
      </c>
      <c r="C142" s="39">
        <v>0.072</v>
      </c>
      <c r="D142" s="40"/>
    </row>
    <row r="143" ht="16.35" spans="2:4">
      <c r="B143" s="22">
        <v>45253</v>
      </c>
      <c r="C143" s="39">
        <v>0.0719</v>
      </c>
      <c r="D143" s="40"/>
    </row>
    <row r="144" ht="16.35" spans="2:4">
      <c r="B144" s="22">
        <v>45254</v>
      </c>
      <c r="C144" s="39">
        <v>0.0719</v>
      </c>
      <c r="D144" s="40"/>
    </row>
    <row r="145" ht="16.35" spans="2:4">
      <c r="B145" s="22">
        <v>45257</v>
      </c>
      <c r="C145" s="39">
        <v>0.0719</v>
      </c>
      <c r="D145" s="40"/>
    </row>
    <row r="146" ht="16.35" spans="2:4">
      <c r="B146" s="22">
        <v>45258</v>
      </c>
      <c r="C146" s="39">
        <v>0.0718</v>
      </c>
      <c r="D146" s="40"/>
    </row>
    <row r="147" ht="16.35" spans="2:4">
      <c r="B147" s="22">
        <v>45259</v>
      </c>
      <c r="C147" s="39">
        <v>0.0718</v>
      </c>
      <c r="D147" s="40"/>
    </row>
    <row r="148" ht="16.35" spans="2:4">
      <c r="B148" s="22">
        <v>45260</v>
      </c>
      <c r="C148" s="39">
        <v>0.0718</v>
      </c>
      <c r="D148" s="40"/>
    </row>
    <row r="149" ht="16.35" spans="2:4">
      <c r="B149" s="22">
        <v>45261</v>
      </c>
      <c r="C149" s="39">
        <v>0.0718</v>
      </c>
      <c r="D149" s="40"/>
    </row>
    <row r="150" ht="16.35" spans="2:4">
      <c r="B150" s="22">
        <v>45264</v>
      </c>
      <c r="C150" s="39">
        <v>0.0718</v>
      </c>
      <c r="D150" s="40"/>
    </row>
    <row r="151" ht="16.35" spans="2:4">
      <c r="B151" s="22">
        <v>45265</v>
      </c>
      <c r="C151" s="39">
        <v>0.0718</v>
      </c>
      <c r="D151" s="40"/>
    </row>
    <row r="152" ht="16.35" spans="2:4">
      <c r="B152" s="22">
        <v>45266</v>
      </c>
      <c r="C152" s="39">
        <v>0.0718</v>
      </c>
      <c r="D152" s="40"/>
    </row>
    <row r="153" ht="16.35" spans="2:4">
      <c r="B153" s="22">
        <v>45267</v>
      </c>
      <c r="C153" s="39">
        <v>0.0718</v>
      </c>
      <c r="D153" s="40"/>
    </row>
    <row r="154" ht="16.35" spans="2:4">
      <c r="B154" s="22">
        <v>45268</v>
      </c>
      <c r="C154" s="39"/>
      <c r="D154" s="40"/>
    </row>
    <row r="155" ht="16.35" spans="2:4">
      <c r="B155" s="22">
        <v>45271</v>
      </c>
      <c r="C155" s="39"/>
      <c r="D155" s="40"/>
    </row>
    <row r="156" ht="16.35" spans="2:4">
      <c r="B156" s="22">
        <v>45272</v>
      </c>
      <c r="C156" s="39"/>
      <c r="D156" s="40"/>
    </row>
    <row r="157" ht="16.35" spans="2:4">
      <c r="B157" s="22">
        <v>45273</v>
      </c>
      <c r="C157" s="39"/>
      <c r="D157" s="40"/>
    </row>
    <row r="158" ht="16.35" spans="2:4">
      <c r="B158" s="22">
        <v>45274</v>
      </c>
      <c r="C158" s="39"/>
      <c r="D158" s="40"/>
    </row>
    <row r="159" ht="16.35" spans="2:4">
      <c r="B159" s="22">
        <v>45275</v>
      </c>
      <c r="C159" s="39">
        <v>0.0779</v>
      </c>
      <c r="D159" s="40"/>
    </row>
    <row r="160" ht="16.35" spans="2:4">
      <c r="B160" s="22">
        <v>45278</v>
      </c>
      <c r="C160" s="39">
        <v>0.0769</v>
      </c>
      <c r="D160" s="40"/>
    </row>
    <row r="161" ht="16.35" spans="2:4">
      <c r="B161" s="22">
        <v>45279</v>
      </c>
      <c r="C161" s="39">
        <v>0.0769</v>
      </c>
      <c r="D161" s="40"/>
    </row>
    <row r="162" ht="16.35" spans="2:4">
      <c r="B162" s="22">
        <v>45280</v>
      </c>
      <c r="C162" s="39">
        <v>0.077</v>
      </c>
      <c r="D162" s="40"/>
    </row>
    <row r="163" ht="16.35" spans="2:4">
      <c r="B163" s="22">
        <v>45281</v>
      </c>
      <c r="C163" s="39">
        <v>0.0728</v>
      </c>
      <c r="D163" s="40"/>
    </row>
    <row r="164" ht="16.35" spans="2:4">
      <c r="B164" s="22">
        <v>45282</v>
      </c>
      <c r="C164" s="39">
        <v>0.0724</v>
      </c>
      <c r="D164" s="40"/>
    </row>
    <row r="165" ht="16.35" spans="2:4">
      <c r="B165" s="22">
        <v>45285</v>
      </c>
      <c r="C165" s="39">
        <v>0.0722</v>
      </c>
      <c r="D165" s="40"/>
    </row>
    <row r="166" ht="16.35" spans="2:4">
      <c r="B166" s="22">
        <v>45286</v>
      </c>
      <c r="C166" s="39">
        <v>0.0725</v>
      </c>
      <c r="D166" s="40"/>
    </row>
    <row r="167" ht="16.35" spans="2:4">
      <c r="B167" s="22">
        <v>45287</v>
      </c>
      <c r="C167" s="39">
        <v>0.0724</v>
      </c>
      <c r="D167" s="40"/>
    </row>
    <row r="168" ht="16.35" spans="2:4">
      <c r="B168" s="22">
        <v>45288</v>
      </c>
      <c r="C168" s="39">
        <v>0.0744</v>
      </c>
      <c r="D168" s="40"/>
    </row>
    <row r="169" ht="16.35" spans="2:4">
      <c r="B169" s="22">
        <v>45289</v>
      </c>
      <c r="C169" s="39">
        <v>0.0755</v>
      </c>
      <c r="D169" s="40"/>
    </row>
    <row r="170" ht="16.35" spans="2:4">
      <c r="B170" s="22">
        <v>45290</v>
      </c>
      <c r="C170" s="39">
        <v>0.0755</v>
      </c>
      <c r="D170" s="40">
        <v>0.0741</v>
      </c>
    </row>
    <row r="171" ht="16.35" spans="2:4">
      <c r="B171" s="22">
        <v>45298</v>
      </c>
      <c r="C171" s="39">
        <v>0.0698</v>
      </c>
      <c r="D171" s="40">
        <v>0.0741</v>
      </c>
    </row>
    <row r="172" ht="16.35" spans="2:4">
      <c r="B172" s="22">
        <v>45299</v>
      </c>
      <c r="C172" s="39">
        <v>0.0697</v>
      </c>
      <c r="D172" s="40">
        <v>0.067</v>
      </c>
    </row>
    <row r="173" ht="16.35" spans="2:4">
      <c r="B173" s="22">
        <v>45300</v>
      </c>
      <c r="C173" s="39">
        <v>0.0697</v>
      </c>
      <c r="D173" s="40">
        <v>0.067</v>
      </c>
    </row>
    <row r="174" ht="16.35" spans="2:4">
      <c r="B174" s="22">
        <v>45301</v>
      </c>
      <c r="C174" s="39">
        <v>0.0696</v>
      </c>
      <c r="D174" s="40">
        <v>0.067</v>
      </c>
    </row>
    <row r="175" ht="16.35" spans="2:4">
      <c r="B175" s="22">
        <v>45302</v>
      </c>
      <c r="C175" s="39">
        <v>0.0696</v>
      </c>
      <c r="D175" s="40">
        <v>0.067</v>
      </c>
    </row>
    <row r="176" ht="16.35" spans="2:4">
      <c r="B176" s="22">
        <v>45303</v>
      </c>
      <c r="C176" s="39">
        <v>0.069</v>
      </c>
      <c r="D176" s="40">
        <v>0.067</v>
      </c>
    </row>
    <row r="177" ht="16.35" spans="2:4">
      <c r="B177" s="22">
        <v>45306</v>
      </c>
      <c r="C177" s="39">
        <v>0.0729</v>
      </c>
      <c r="D177" s="40">
        <v>0.067</v>
      </c>
    </row>
    <row r="178" ht="16.35" spans="2:4">
      <c r="B178" s="22">
        <v>45307</v>
      </c>
      <c r="C178" s="39">
        <v>0.0685</v>
      </c>
      <c r="D178" s="40">
        <v>0.067</v>
      </c>
    </row>
    <row r="179" ht="16.35" spans="2:4">
      <c r="B179" s="22">
        <v>45308</v>
      </c>
      <c r="C179" s="39">
        <v>0.0676</v>
      </c>
      <c r="D179" s="40">
        <v>0.067</v>
      </c>
    </row>
    <row r="180" ht="16.35" spans="2:4">
      <c r="B180" s="22">
        <v>45309</v>
      </c>
      <c r="C180" s="39">
        <v>0.0668</v>
      </c>
      <c r="D180" s="40"/>
    </row>
    <row r="181" ht="16.35" spans="2:4">
      <c r="B181" s="22">
        <v>45310</v>
      </c>
      <c r="C181" s="39">
        <v>0.0668</v>
      </c>
      <c r="D181" s="40"/>
    </row>
    <row r="182" ht="16.35" spans="2:4">
      <c r="B182" s="22">
        <v>45313</v>
      </c>
      <c r="C182" s="39">
        <v>0.0668</v>
      </c>
      <c r="D182" s="40">
        <v>0.067</v>
      </c>
    </row>
    <row r="183" ht="16.35" spans="2:4">
      <c r="B183" s="22">
        <v>45314</v>
      </c>
      <c r="C183" s="39">
        <v>0.0669</v>
      </c>
      <c r="D183" s="40">
        <v>0.067</v>
      </c>
    </row>
    <row r="184" ht="16.35" spans="2:4">
      <c r="B184" s="22">
        <v>45315</v>
      </c>
      <c r="C184" s="39">
        <v>0.0664</v>
      </c>
      <c r="D184" s="40">
        <v>0.067</v>
      </c>
    </row>
    <row r="185" ht="16.35" spans="2:4">
      <c r="B185" s="22">
        <v>45316</v>
      </c>
      <c r="C185" s="39">
        <v>0.0656</v>
      </c>
      <c r="D185" s="40">
        <v>0.067</v>
      </c>
    </row>
    <row r="186" ht="16.35" spans="2:4">
      <c r="B186" s="22">
        <v>45317</v>
      </c>
      <c r="C186" s="39">
        <v>0.0644</v>
      </c>
      <c r="D186" s="40">
        <v>0.067</v>
      </c>
    </row>
    <row r="187" ht="16.35" spans="2:4">
      <c r="B187" s="22">
        <v>45320</v>
      </c>
      <c r="C187" s="39">
        <v>0.0622</v>
      </c>
      <c r="D187" s="40">
        <v>0.067</v>
      </c>
    </row>
    <row r="188" ht="16.35" spans="2:4">
      <c r="B188" s="22">
        <v>45321</v>
      </c>
      <c r="C188" s="39">
        <v>0.0637</v>
      </c>
      <c r="D188" s="40">
        <v>0.067</v>
      </c>
    </row>
    <row r="189" ht="16.35" spans="2:4">
      <c r="B189" s="22">
        <v>45322</v>
      </c>
      <c r="C189" s="39">
        <v>0.0634</v>
      </c>
      <c r="D189" s="40">
        <v>0.067</v>
      </c>
    </row>
    <row r="190" ht="16.35" spans="2:4">
      <c r="B190" s="22">
        <v>45323</v>
      </c>
      <c r="C190" s="39">
        <v>0.0637</v>
      </c>
      <c r="D190" s="40">
        <v>0.067</v>
      </c>
    </row>
    <row r="191" ht="16.35" spans="2:4">
      <c r="B191" s="22">
        <v>45324</v>
      </c>
      <c r="C191" s="39">
        <v>0.0609</v>
      </c>
      <c r="D191" s="40"/>
    </row>
    <row r="192" ht="16.35" spans="2:4">
      <c r="B192" s="22">
        <v>45327</v>
      </c>
      <c r="C192" s="39">
        <v>0.0606</v>
      </c>
      <c r="D192" s="40"/>
    </row>
    <row r="193" ht="16.35" spans="2:4">
      <c r="B193" s="22">
        <v>45328</v>
      </c>
      <c r="C193" s="39">
        <v>0.0621</v>
      </c>
      <c r="D193" s="40"/>
    </row>
    <row r="194" ht="16.35" spans="2:4">
      <c r="B194" s="22" t="e">
        <f>#REF!</f>
        <v>#REF!</v>
      </c>
      <c r="C194" s="39">
        <v>0.0615</v>
      </c>
      <c r="D194" s="40"/>
    </row>
    <row r="195" ht="16.35" spans="2:4">
      <c r="B195" s="22" t="e">
        <f>#REF!</f>
        <v>#REF!</v>
      </c>
      <c r="C195" s="39">
        <v>0.0624</v>
      </c>
      <c r="D195" s="40"/>
    </row>
    <row r="196" ht="16.35" spans="2:4">
      <c r="B196" s="22" t="e">
        <f>#REF!</f>
        <v>#REF!</v>
      </c>
      <c r="C196" s="39" t="e">
        <f>'1D AZIR və 1W AZIR'!C197</f>
        <v>#REF!</v>
      </c>
      <c r="D196" s="40"/>
    </row>
    <row r="197" ht="16.35" spans="2:4">
      <c r="B197" s="22" t="e">
        <f>#REF!</f>
        <v>#REF!</v>
      </c>
      <c r="C197" s="39" t="e">
        <f>'1D AZIR və 1W AZIR'!C198</f>
        <v>#REF!</v>
      </c>
      <c r="D197" s="40"/>
    </row>
    <row r="198" ht="16.35" spans="2:4">
      <c r="B198" s="22" t="e">
        <f>#REF!</f>
        <v>#REF!</v>
      </c>
      <c r="C198" s="39" t="e">
        <f>'1D AZIR və 1W AZIR'!C199</f>
        <v>#REF!</v>
      </c>
      <c r="D198" s="40"/>
    </row>
    <row r="199" ht="16.35" spans="2:4">
      <c r="B199" s="22" t="e">
        <f>#REF!</f>
        <v>#REF!</v>
      </c>
      <c r="C199" s="39" t="e">
        <f>'1D AZIR və 1W AZIR'!C200</f>
        <v>#REF!</v>
      </c>
      <c r="D199" s="40"/>
    </row>
    <row r="200" ht="16.35" spans="2:4">
      <c r="B200" s="22" t="e">
        <f>#REF!</f>
        <v>#REF!</v>
      </c>
      <c r="C200" s="39" t="e">
        <f>'1D AZIR və 1W AZIR'!C201</f>
        <v>#REF!</v>
      </c>
      <c r="D200" s="40"/>
    </row>
    <row r="201" ht="16.35" spans="2:4">
      <c r="B201" s="22" t="e">
        <f>#REF!</f>
        <v>#REF!</v>
      </c>
      <c r="C201" s="39" t="e">
        <f>'1D AZIR və 1W AZIR'!C202</f>
        <v>#REF!</v>
      </c>
      <c r="D201" s="40"/>
    </row>
    <row r="202" ht="16.35" spans="2:4">
      <c r="B202" s="22" t="e">
        <f>#REF!</f>
        <v>#REF!</v>
      </c>
      <c r="C202" s="39" t="e">
        <f>'1D AZIR və 1W AZIR'!C203</f>
        <v>#REF!</v>
      </c>
      <c r="D202" s="40"/>
    </row>
    <row r="203" ht="16.35" spans="2:4">
      <c r="B203" s="22" t="e">
        <f>#REF!</f>
        <v>#REF!</v>
      </c>
      <c r="C203" s="39" t="e">
        <f>'1D AZIR və 1W AZIR'!C204</f>
        <v>#REF!</v>
      </c>
      <c r="D203" s="40"/>
    </row>
    <row r="204" ht="16.35" spans="2:4">
      <c r="B204" s="22" t="e">
        <f>#REF!</f>
        <v>#REF!</v>
      </c>
      <c r="C204" s="39" t="e">
        <f>'1D AZIR və 1W AZIR'!C205</f>
        <v>#REF!</v>
      </c>
      <c r="D204" s="40"/>
    </row>
    <row r="205" ht="16.35" spans="2:4">
      <c r="B205" s="22" t="e">
        <f>#REF!</f>
        <v>#REF!</v>
      </c>
      <c r="C205" s="39" t="e">
        <f>'1D AZIR və 1W AZIR'!C206</f>
        <v>#REF!</v>
      </c>
      <c r="D205" s="40"/>
    </row>
    <row r="206" ht="16.35" spans="2:4">
      <c r="B206" s="22" t="e">
        <f>#REF!</f>
        <v>#REF!</v>
      </c>
      <c r="C206" s="39" t="e">
        <f>'1D AZIR və 1W AZIR'!C207</f>
        <v>#REF!</v>
      </c>
      <c r="D206" s="40"/>
    </row>
    <row r="207" ht="16.35" spans="2:4">
      <c r="B207" s="22" t="e">
        <f>#REF!</f>
        <v>#REF!</v>
      </c>
      <c r="C207" s="39" t="e">
        <f>'1D AZIR və 1W AZIR'!C208</f>
        <v>#REF!</v>
      </c>
      <c r="D207" s="40"/>
    </row>
    <row r="208" ht="16.35" spans="2:4">
      <c r="B208" s="22" t="e">
        <f>#REF!</f>
        <v>#REF!</v>
      </c>
      <c r="C208" s="39" t="e">
        <f>'1D AZIR və 1W AZIR'!C209</f>
        <v>#REF!</v>
      </c>
      <c r="D208" s="40"/>
    </row>
    <row r="209" ht="16.35" spans="2:4">
      <c r="B209" s="22" t="e">
        <f>#REF!</f>
        <v>#REF!</v>
      </c>
      <c r="C209" s="39" t="e">
        <f>'1D AZIR və 1W AZIR'!C210</f>
        <v>#REF!</v>
      </c>
      <c r="D209" s="40"/>
    </row>
    <row r="210" ht="16.35" spans="2:4">
      <c r="B210" s="22" t="e">
        <f>#REF!</f>
        <v>#REF!</v>
      </c>
      <c r="C210" s="39" t="e">
        <f>'1D AZIR və 1W AZIR'!C211</f>
        <v>#REF!</v>
      </c>
      <c r="D210" s="40"/>
    </row>
    <row r="211" ht="16.35" spans="2:4">
      <c r="B211" s="22" t="e">
        <f>#REF!</f>
        <v>#REF!</v>
      </c>
      <c r="C211" s="39" t="e">
        <f>'1D AZIR və 1W AZIR'!C212</f>
        <v>#REF!</v>
      </c>
      <c r="D211" s="40"/>
    </row>
    <row r="212" ht="16.35" spans="2:4">
      <c r="B212" s="22" t="e">
        <f>#REF!</f>
        <v>#REF!</v>
      </c>
      <c r="C212" s="39" t="e">
        <f>'1D AZIR və 1W AZIR'!C213</f>
        <v>#REF!</v>
      </c>
      <c r="D212" s="40"/>
    </row>
    <row r="213" ht="16.35" spans="2:4">
      <c r="B213" s="22" t="e">
        <f>#REF!</f>
        <v>#REF!</v>
      </c>
      <c r="C213" s="39" t="e">
        <f>'1D AZIR və 1W AZIR'!C214</f>
        <v>#REF!</v>
      </c>
      <c r="D213" s="40"/>
    </row>
    <row r="214" ht="16.35" spans="2:4">
      <c r="B214" s="22" t="e">
        <f>#REF!</f>
        <v>#REF!</v>
      </c>
      <c r="C214" s="39" t="e">
        <f>'1D AZIR və 1W AZIR'!C215</f>
        <v>#REF!</v>
      </c>
      <c r="D214" s="40" t="e">
        <f>'1D AZIR və 1W AZIR'!F215</f>
        <v>#REF!</v>
      </c>
    </row>
    <row r="230" ht="15.15"/>
    <row r="231" spans="6:16">
      <c r="F231" s="26" t="s">
        <v>22</v>
      </c>
      <c r="G231" s="27"/>
      <c r="H231" s="27"/>
      <c r="I231" s="27"/>
      <c r="J231" s="27"/>
      <c r="K231" s="27"/>
      <c r="L231" s="27"/>
      <c r="M231" s="27"/>
      <c r="N231" s="27"/>
      <c r="O231" s="27"/>
      <c r="P231" s="32"/>
    </row>
    <row r="232" spans="6:16">
      <c r="F232" s="28"/>
      <c r="G232" s="29"/>
      <c r="H232" s="29"/>
      <c r="I232" s="29"/>
      <c r="J232" s="29"/>
      <c r="K232" s="29"/>
      <c r="L232" s="29"/>
      <c r="M232" s="29"/>
      <c r="N232" s="29"/>
      <c r="O232" s="29"/>
      <c r="P232" s="33"/>
    </row>
    <row r="233" spans="6:16">
      <c r="F233" s="28"/>
      <c r="G233" s="29"/>
      <c r="H233" s="29"/>
      <c r="I233" s="29"/>
      <c r="J233" s="29"/>
      <c r="K233" s="29"/>
      <c r="L233" s="29"/>
      <c r="M233" s="29"/>
      <c r="N233" s="29"/>
      <c r="O233" s="29"/>
      <c r="P233" s="33"/>
    </row>
    <row r="234" spans="6:16">
      <c r="F234" s="28"/>
      <c r="G234" s="29"/>
      <c r="H234" s="29"/>
      <c r="I234" s="29"/>
      <c r="J234" s="29"/>
      <c r="K234" s="29"/>
      <c r="L234" s="29"/>
      <c r="M234" s="29"/>
      <c r="N234" s="29"/>
      <c r="O234" s="29"/>
      <c r="P234" s="33"/>
    </row>
    <row r="235" ht="15.15" spans="6:16">
      <c r="F235" s="30"/>
      <c r="G235" s="31"/>
      <c r="H235" s="31"/>
      <c r="I235" s="31"/>
      <c r="J235" s="31"/>
      <c r="K235" s="31"/>
      <c r="L235" s="31"/>
      <c r="M235" s="31"/>
      <c r="N235" s="31"/>
      <c r="O235" s="31"/>
      <c r="P235" s="34"/>
    </row>
  </sheetData>
  <mergeCells count="1">
    <mergeCell ref="F231:P235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41"/>
  <sheetViews>
    <sheetView workbookViewId="0">
      <pane xSplit="1" ySplit="2" topLeftCell="B208" activePane="bottomRight" state="frozen"/>
      <selection/>
      <selection pane="topRight"/>
      <selection pane="bottomLeft"/>
      <selection pane="bottomRight" activeCell="D212" sqref="D212:D213"/>
    </sheetView>
  </sheetViews>
  <sheetFormatPr defaultColWidth="9" defaultRowHeight="14.4"/>
  <cols>
    <col min="1" max="1" width="1.85185185185185" customWidth="1"/>
    <col min="2" max="2" width="16.5740740740741" customWidth="1"/>
    <col min="3" max="3" width="14.5740740740741" customWidth="1"/>
    <col min="4" max="4" width="15.4259259259259" customWidth="1"/>
  </cols>
  <sheetData>
    <row r="1" ht="15.15"/>
    <row r="2" ht="21" customHeight="1" spans="2:4">
      <c r="B2" s="19" t="s">
        <v>13</v>
      </c>
      <c r="C2" s="20" t="s">
        <v>17</v>
      </c>
      <c r="D2" s="21" t="s">
        <v>18</v>
      </c>
    </row>
    <row r="3" ht="16.5" customHeight="1" spans="2:4">
      <c r="B3" s="22">
        <v>45047</v>
      </c>
      <c r="C3" s="35">
        <v>111.5</v>
      </c>
      <c r="D3" s="36"/>
    </row>
    <row r="4" ht="16.35" spans="2:4">
      <c r="B4" s="22">
        <v>45048</v>
      </c>
      <c r="C4" s="35">
        <v>161</v>
      </c>
      <c r="D4" s="36">
        <v>36</v>
      </c>
    </row>
    <row r="5" ht="16.35" spans="2:4">
      <c r="B5" s="22">
        <v>45049</v>
      </c>
      <c r="C5" s="35">
        <v>162</v>
      </c>
      <c r="D5" s="37"/>
    </row>
    <row r="6" ht="16.35" spans="2:4">
      <c r="B6" s="22">
        <v>45050</v>
      </c>
      <c r="C6" s="35">
        <v>147</v>
      </c>
      <c r="D6" s="36">
        <v>10</v>
      </c>
    </row>
    <row r="7" ht="16.35" spans="2:4">
      <c r="B7" s="22">
        <v>45051</v>
      </c>
      <c r="C7" s="35">
        <v>142.5</v>
      </c>
      <c r="D7" s="36">
        <v>16</v>
      </c>
    </row>
    <row r="8" ht="16.35" spans="2:4">
      <c r="B8" s="22">
        <v>45054</v>
      </c>
      <c r="C8" s="35">
        <v>155</v>
      </c>
      <c r="D8" s="36"/>
    </row>
    <row r="9" ht="16.35" spans="2:4">
      <c r="B9" s="22">
        <v>45056</v>
      </c>
      <c r="C9" s="35">
        <v>149.5</v>
      </c>
      <c r="D9" s="36">
        <v>46</v>
      </c>
    </row>
    <row r="10" ht="16.35" spans="2:4">
      <c r="B10" s="22">
        <v>45057</v>
      </c>
      <c r="C10" s="35">
        <v>179</v>
      </c>
      <c r="D10" s="36"/>
    </row>
    <row r="11" ht="16.35" spans="2:4">
      <c r="B11" s="22">
        <v>45058</v>
      </c>
      <c r="C11" s="35">
        <v>168</v>
      </c>
      <c r="D11" s="36">
        <v>16</v>
      </c>
    </row>
    <row r="12" ht="16.35" spans="2:4">
      <c r="B12" s="22">
        <v>45061</v>
      </c>
      <c r="C12" s="35">
        <v>157</v>
      </c>
      <c r="D12" s="36"/>
    </row>
    <row r="13" ht="16.35" spans="2:4">
      <c r="B13" s="22">
        <v>45062</v>
      </c>
      <c r="C13" s="35">
        <v>174</v>
      </c>
      <c r="D13" s="36"/>
    </row>
    <row r="14" ht="16.35" spans="2:4">
      <c r="B14" s="22">
        <v>45063</v>
      </c>
      <c r="C14" s="35">
        <v>161</v>
      </c>
      <c r="D14" s="36">
        <v>46</v>
      </c>
    </row>
    <row r="15" ht="16.35" spans="2:4">
      <c r="B15" s="22">
        <v>45064</v>
      </c>
      <c r="C15" s="35">
        <v>184</v>
      </c>
      <c r="D15" s="36"/>
    </row>
    <row r="16" ht="16.35" spans="2:4">
      <c r="B16" s="22">
        <v>45065</v>
      </c>
      <c r="C16" s="35">
        <v>160</v>
      </c>
      <c r="D16" s="36"/>
    </row>
    <row r="17" ht="16.35" spans="2:4">
      <c r="B17" s="22">
        <v>45068</v>
      </c>
      <c r="C17" s="35">
        <v>126</v>
      </c>
      <c r="D17" s="36"/>
    </row>
    <row r="18" ht="16.35" spans="2:4">
      <c r="B18" s="22">
        <v>45069</v>
      </c>
      <c r="C18" s="35">
        <v>179.8</v>
      </c>
      <c r="D18" s="36"/>
    </row>
    <row r="19" ht="16.35" spans="2:4">
      <c r="B19" s="22">
        <v>45070</v>
      </c>
      <c r="C19" s="35">
        <v>235.3</v>
      </c>
      <c r="D19" s="36">
        <v>10</v>
      </c>
    </row>
    <row r="20" ht="16.35" spans="2:4">
      <c r="B20" s="22">
        <v>45071</v>
      </c>
      <c r="C20" s="35">
        <v>267.3</v>
      </c>
      <c r="D20" s="36"/>
    </row>
    <row r="21" ht="16.35" spans="2:4">
      <c r="B21" s="22">
        <v>45072</v>
      </c>
      <c r="C21" s="35"/>
      <c r="D21" s="36"/>
    </row>
    <row r="22" ht="16.35" spans="2:4">
      <c r="B22" s="22">
        <v>45076</v>
      </c>
      <c r="C22" s="35">
        <v>263.8</v>
      </c>
      <c r="D22" s="36"/>
    </row>
    <row r="23" ht="15" customHeight="1" spans="2:6">
      <c r="B23" s="22">
        <v>45077</v>
      </c>
      <c r="C23" s="35">
        <v>215</v>
      </c>
      <c r="D23" s="36">
        <v>10</v>
      </c>
      <c r="E23" s="38"/>
      <c r="F23" s="38"/>
    </row>
    <row r="24" ht="19.5" customHeight="1" spans="2:6">
      <c r="B24" s="22">
        <v>45078</v>
      </c>
      <c r="C24" s="35">
        <v>188</v>
      </c>
      <c r="D24" s="36"/>
      <c r="E24" s="38"/>
      <c r="F24" s="38"/>
    </row>
    <row r="25" ht="16.35" spans="2:4">
      <c r="B25" s="22">
        <v>45079</v>
      </c>
      <c r="C25" s="35">
        <v>181.5</v>
      </c>
      <c r="D25" s="36"/>
    </row>
    <row r="26" ht="16.35" spans="2:4">
      <c r="B26" s="22">
        <v>45082</v>
      </c>
      <c r="C26" s="35">
        <v>202.5</v>
      </c>
      <c r="D26" s="36"/>
    </row>
    <row r="27" ht="16.35" spans="2:4">
      <c r="B27" s="22">
        <v>45083</v>
      </c>
      <c r="C27" s="35">
        <v>198.5</v>
      </c>
      <c r="D27" s="36"/>
    </row>
    <row r="28" ht="16.35" spans="2:4">
      <c r="B28" s="22">
        <v>45084</v>
      </c>
      <c r="C28" s="35">
        <v>201.5</v>
      </c>
      <c r="D28" s="36">
        <v>10</v>
      </c>
    </row>
    <row r="29" ht="16.35" spans="2:4">
      <c r="B29" s="22">
        <v>45085</v>
      </c>
      <c r="C29" s="35">
        <v>162</v>
      </c>
      <c r="D29" s="36"/>
    </row>
    <row r="30" ht="16.35" spans="2:4">
      <c r="B30" s="22">
        <v>45086</v>
      </c>
      <c r="C30" s="35">
        <v>157.5</v>
      </c>
      <c r="D30" s="36"/>
    </row>
    <row r="31" ht="16.35" spans="2:4">
      <c r="B31" s="22">
        <v>45089</v>
      </c>
      <c r="C31" s="35">
        <v>158.5</v>
      </c>
      <c r="D31" s="36"/>
    </row>
    <row r="32" ht="16.35" spans="2:4">
      <c r="B32" s="22">
        <v>45090</v>
      </c>
      <c r="C32" s="35">
        <v>140</v>
      </c>
      <c r="D32" s="36"/>
    </row>
    <row r="33" ht="16.35" spans="2:4">
      <c r="B33" s="22">
        <v>45091</v>
      </c>
      <c r="C33" s="35">
        <v>164</v>
      </c>
      <c r="D33" s="36">
        <v>10</v>
      </c>
    </row>
    <row r="34" ht="16.35" spans="2:4">
      <c r="B34" s="22">
        <v>45093</v>
      </c>
      <c r="C34" s="35">
        <v>180</v>
      </c>
      <c r="D34" s="36"/>
    </row>
    <row r="35" ht="16.35" spans="2:4">
      <c r="B35" s="22">
        <v>45096</v>
      </c>
      <c r="C35" s="35">
        <v>135</v>
      </c>
      <c r="D35" s="36"/>
    </row>
    <row r="36" ht="16.35" spans="2:4">
      <c r="B36" s="22">
        <v>45097</v>
      </c>
      <c r="C36" s="35">
        <v>159.5</v>
      </c>
      <c r="D36" s="36"/>
    </row>
    <row r="37" ht="16.35" spans="2:4">
      <c r="B37" s="22">
        <v>45098</v>
      </c>
      <c r="C37" s="35">
        <v>169.5</v>
      </c>
      <c r="D37" s="36"/>
    </row>
    <row r="38" ht="16.35" spans="2:4">
      <c r="B38" s="22">
        <v>45099</v>
      </c>
      <c r="C38" s="35">
        <v>183</v>
      </c>
      <c r="D38" s="36"/>
    </row>
    <row r="39" ht="16.35" spans="2:4">
      <c r="B39" s="22">
        <v>45100</v>
      </c>
      <c r="C39" s="35">
        <v>173</v>
      </c>
      <c r="D39" s="36"/>
    </row>
    <row r="40" ht="16.35" spans="2:4">
      <c r="B40" s="22">
        <v>45101</v>
      </c>
      <c r="C40" s="35">
        <v>176.5</v>
      </c>
      <c r="D40" s="36"/>
    </row>
    <row r="41" ht="16.35" spans="2:4">
      <c r="B41" s="22">
        <v>45102</v>
      </c>
      <c r="C41" s="35"/>
      <c r="D41" s="36">
        <v>47</v>
      </c>
    </row>
    <row r="42" ht="16.35" spans="2:4">
      <c r="B42" s="22">
        <v>45110</v>
      </c>
      <c r="C42" s="35">
        <v>135</v>
      </c>
      <c r="D42" s="36">
        <v>10</v>
      </c>
    </row>
    <row r="43" ht="16.35" spans="2:4">
      <c r="B43" s="22">
        <v>45111</v>
      </c>
      <c r="C43" s="35">
        <v>140</v>
      </c>
      <c r="D43" s="36"/>
    </row>
    <row r="44" ht="16.35" spans="2:4">
      <c r="B44" s="22">
        <v>45112</v>
      </c>
      <c r="C44" s="35">
        <v>169</v>
      </c>
      <c r="D44" s="36"/>
    </row>
    <row r="45" ht="16.35" spans="2:4">
      <c r="B45" s="22">
        <v>45113</v>
      </c>
      <c r="C45" s="35">
        <v>122.5</v>
      </c>
      <c r="D45" s="36"/>
    </row>
    <row r="46" ht="16.35" spans="2:4">
      <c r="B46" s="22">
        <v>45114</v>
      </c>
      <c r="C46" s="35">
        <v>156.5</v>
      </c>
      <c r="D46" s="36"/>
    </row>
    <row r="47" ht="16.35" spans="2:4">
      <c r="B47" s="22">
        <v>45117</v>
      </c>
      <c r="C47" s="35">
        <v>164</v>
      </c>
      <c r="D47" s="36">
        <v>10</v>
      </c>
    </row>
    <row r="48" ht="16.35" spans="2:4">
      <c r="B48" s="22">
        <v>45118</v>
      </c>
      <c r="C48" s="35">
        <v>136</v>
      </c>
      <c r="D48" s="36"/>
    </row>
    <row r="49" ht="16.35" spans="2:4">
      <c r="B49" s="22">
        <v>45119</v>
      </c>
      <c r="C49" s="35">
        <v>110</v>
      </c>
      <c r="D49" s="36"/>
    </row>
    <row r="50" ht="16.35" spans="2:4">
      <c r="B50" s="22">
        <v>45120</v>
      </c>
      <c r="C50" s="35">
        <v>131.5</v>
      </c>
      <c r="D50" s="36"/>
    </row>
    <row r="51" ht="16.35" spans="2:4">
      <c r="B51" s="22">
        <v>45121</v>
      </c>
      <c r="C51" s="35">
        <v>112.5</v>
      </c>
      <c r="D51" s="36"/>
    </row>
    <row r="52" ht="16.35" spans="2:4">
      <c r="B52" s="22">
        <v>45124</v>
      </c>
      <c r="C52" s="35">
        <v>121</v>
      </c>
      <c r="D52" s="36">
        <v>10</v>
      </c>
    </row>
    <row r="53" ht="16.35" spans="2:4">
      <c r="B53" s="22">
        <v>45125</v>
      </c>
      <c r="C53" s="35">
        <v>122</v>
      </c>
      <c r="D53" s="36"/>
    </row>
    <row r="54" ht="16.35" spans="2:4">
      <c r="B54" s="22">
        <v>45126</v>
      </c>
      <c r="C54" s="35">
        <v>108</v>
      </c>
      <c r="D54" s="36"/>
    </row>
    <row r="55" ht="16.35" spans="2:4">
      <c r="B55" s="22">
        <v>45127</v>
      </c>
      <c r="C55" s="35">
        <v>127</v>
      </c>
      <c r="D55" s="36"/>
    </row>
    <row r="56" ht="16.35" spans="2:4">
      <c r="B56" s="22">
        <v>45128</v>
      </c>
      <c r="C56" s="35">
        <v>110</v>
      </c>
      <c r="D56" s="36"/>
    </row>
    <row r="57" ht="16.35" spans="2:4">
      <c r="B57" s="22">
        <v>45131</v>
      </c>
      <c r="C57" s="35">
        <v>107</v>
      </c>
      <c r="D57" s="36">
        <v>10</v>
      </c>
    </row>
    <row r="58" ht="16.35" spans="2:4">
      <c r="B58" s="22">
        <v>45132</v>
      </c>
      <c r="C58" s="35">
        <v>122</v>
      </c>
      <c r="D58" s="36"/>
    </row>
    <row r="59" ht="16.35" spans="2:4">
      <c r="B59" s="22">
        <v>45133</v>
      </c>
      <c r="C59" s="35">
        <v>112</v>
      </c>
      <c r="D59" s="36"/>
    </row>
    <row r="60" ht="16.35" spans="2:4">
      <c r="B60" s="22">
        <v>45134</v>
      </c>
      <c r="C60" s="35">
        <v>133</v>
      </c>
      <c r="D60" s="36"/>
    </row>
    <row r="61" ht="16.35" spans="2:4">
      <c r="B61" s="22">
        <v>45135</v>
      </c>
      <c r="C61" s="35">
        <v>110.5</v>
      </c>
      <c r="D61" s="36"/>
    </row>
    <row r="62" ht="16.35" spans="2:4">
      <c r="B62" s="22">
        <v>45138</v>
      </c>
      <c r="C62" s="35">
        <v>145</v>
      </c>
      <c r="D62" s="36"/>
    </row>
    <row r="63" ht="16.35" spans="2:4">
      <c r="B63" s="22">
        <v>45139</v>
      </c>
      <c r="C63" s="35">
        <v>155</v>
      </c>
      <c r="D63" s="36"/>
    </row>
    <row r="64" ht="16.35" spans="2:4">
      <c r="B64" s="22">
        <v>45140</v>
      </c>
      <c r="C64" s="35">
        <v>165</v>
      </c>
      <c r="D64" s="36"/>
    </row>
    <row r="65" ht="16.35" spans="2:4">
      <c r="B65" s="22">
        <v>45141</v>
      </c>
      <c r="C65" s="35">
        <v>149</v>
      </c>
      <c r="D65" s="36"/>
    </row>
    <row r="66" ht="16.35" spans="2:4">
      <c r="B66" s="22">
        <v>45142</v>
      </c>
      <c r="C66" s="35">
        <v>139</v>
      </c>
      <c r="D66" s="36"/>
    </row>
    <row r="67" ht="16.35" spans="2:4">
      <c r="B67" s="22">
        <v>45145</v>
      </c>
      <c r="C67" s="35">
        <v>159</v>
      </c>
      <c r="D67" s="36"/>
    </row>
    <row r="68" ht="16.35" spans="2:4">
      <c r="B68" s="22">
        <v>45146</v>
      </c>
      <c r="C68" s="35">
        <v>134.5</v>
      </c>
      <c r="D68" s="36"/>
    </row>
    <row r="69" ht="16.35" spans="2:4">
      <c r="B69" s="22">
        <v>45147</v>
      </c>
      <c r="C69" s="35">
        <v>129.5</v>
      </c>
      <c r="D69" s="36"/>
    </row>
    <row r="70" ht="16.35" spans="2:4">
      <c r="B70" s="22">
        <v>45148</v>
      </c>
      <c r="C70" s="35">
        <v>130</v>
      </c>
      <c r="D70" s="36"/>
    </row>
    <row r="71" ht="16.35" spans="2:4">
      <c r="B71" s="22">
        <v>45149</v>
      </c>
      <c r="C71" s="35">
        <v>135</v>
      </c>
      <c r="D71" s="36"/>
    </row>
    <row r="72" ht="16.35" spans="2:4">
      <c r="B72" s="22">
        <v>45152</v>
      </c>
      <c r="C72" s="35">
        <v>145.5</v>
      </c>
      <c r="D72" s="36"/>
    </row>
    <row r="73" ht="16.35" spans="2:4">
      <c r="B73" s="22">
        <v>45153</v>
      </c>
      <c r="C73" s="35">
        <v>217</v>
      </c>
      <c r="D73" s="36"/>
    </row>
    <row r="74" ht="16.35" spans="2:4">
      <c r="B74" s="22">
        <v>45154</v>
      </c>
      <c r="C74" s="35">
        <v>237</v>
      </c>
      <c r="D74" s="36"/>
    </row>
    <row r="75" ht="16.35" spans="2:4">
      <c r="B75" s="22">
        <v>45155</v>
      </c>
      <c r="C75" s="35">
        <v>187</v>
      </c>
      <c r="D75" s="36"/>
    </row>
    <row r="76" ht="16.35" spans="2:4">
      <c r="B76" s="22">
        <v>45156</v>
      </c>
      <c r="C76" s="35">
        <v>223</v>
      </c>
      <c r="D76" s="36"/>
    </row>
    <row r="77" ht="16.35" spans="2:4">
      <c r="B77" s="22">
        <v>45159</v>
      </c>
      <c r="C77" s="35">
        <v>230</v>
      </c>
      <c r="D77" s="36"/>
    </row>
    <row r="78" ht="16.35" spans="2:4">
      <c r="B78" s="22">
        <v>45160</v>
      </c>
      <c r="C78" s="35">
        <v>234</v>
      </c>
      <c r="D78" s="36"/>
    </row>
    <row r="79" ht="16.35" spans="2:4">
      <c r="B79" s="22">
        <v>45161</v>
      </c>
      <c r="C79" s="35">
        <v>244</v>
      </c>
      <c r="D79" s="36"/>
    </row>
    <row r="80" ht="16.35" spans="2:4">
      <c r="B80" s="22">
        <v>45162</v>
      </c>
      <c r="C80" s="35">
        <v>204</v>
      </c>
      <c r="D80" s="36"/>
    </row>
    <row r="81" ht="16.35" spans="2:4">
      <c r="B81" s="22">
        <v>45163</v>
      </c>
      <c r="C81" s="35">
        <v>332</v>
      </c>
      <c r="D81" s="36"/>
    </row>
    <row r="82" ht="16.35" spans="2:4">
      <c r="B82" s="22">
        <v>45166</v>
      </c>
      <c r="C82" s="35">
        <v>355.5</v>
      </c>
      <c r="D82" s="36"/>
    </row>
    <row r="83" ht="16.35" spans="2:4">
      <c r="B83" s="22">
        <v>45167</v>
      </c>
      <c r="C83" s="35">
        <v>372.5</v>
      </c>
      <c r="D83" s="36"/>
    </row>
    <row r="84" ht="16.35" spans="2:4">
      <c r="B84" s="22">
        <v>45168</v>
      </c>
      <c r="C84" s="35">
        <v>319</v>
      </c>
      <c r="D84" s="36"/>
    </row>
    <row r="85" ht="16.35" spans="2:4">
      <c r="B85" s="22">
        <v>45169</v>
      </c>
      <c r="C85" s="35">
        <v>265</v>
      </c>
      <c r="D85" s="36"/>
    </row>
    <row r="86" ht="16.35" spans="2:4">
      <c r="B86" s="22">
        <v>45170</v>
      </c>
      <c r="C86" s="35">
        <v>327</v>
      </c>
      <c r="D86" s="36"/>
    </row>
    <row r="87" ht="16.35" spans="2:4">
      <c r="B87" s="22">
        <v>45173</v>
      </c>
      <c r="C87" s="35">
        <v>416.5</v>
      </c>
      <c r="D87" s="36"/>
    </row>
    <row r="88" ht="16.35" spans="2:4">
      <c r="B88" s="22">
        <v>45174</v>
      </c>
      <c r="C88" s="35">
        <v>417</v>
      </c>
      <c r="D88" s="36"/>
    </row>
    <row r="89" ht="16.35" spans="2:4">
      <c r="B89" s="22">
        <v>45175</v>
      </c>
      <c r="C89" s="35">
        <v>325.5</v>
      </c>
      <c r="D89" s="36"/>
    </row>
    <row r="90" ht="16.35" spans="2:4">
      <c r="B90" s="22">
        <v>45176</v>
      </c>
      <c r="C90" s="35">
        <v>417</v>
      </c>
      <c r="D90" s="36"/>
    </row>
    <row r="91" ht="16.35" spans="2:4">
      <c r="B91" s="22">
        <v>45177</v>
      </c>
      <c r="C91" s="35">
        <v>383</v>
      </c>
      <c r="D91" s="36"/>
    </row>
    <row r="92" ht="16.35" spans="2:4">
      <c r="B92" s="22">
        <v>45180</v>
      </c>
      <c r="C92" s="35">
        <v>164</v>
      </c>
      <c r="D92" s="36"/>
    </row>
    <row r="93" ht="16.35" spans="2:4">
      <c r="B93" s="22">
        <v>45181</v>
      </c>
      <c r="C93" s="35">
        <v>45</v>
      </c>
      <c r="D93" s="36"/>
    </row>
    <row r="94" ht="16.35" spans="2:4">
      <c r="B94" s="22">
        <v>45182</v>
      </c>
      <c r="C94" s="35"/>
      <c r="D94" s="36"/>
    </row>
    <row r="95" ht="16.35" spans="2:4">
      <c r="B95" s="22">
        <v>45183</v>
      </c>
      <c r="C95" s="35"/>
      <c r="D95" s="36"/>
    </row>
    <row r="96" ht="16.35" spans="2:4">
      <c r="B96" s="22" t="e">
        <f>#REF!</f>
        <v>#REF!</v>
      </c>
      <c r="C96" s="35"/>
      <c r="D96" s="36"/>
    </row>
    <row r="97" ht="16.35" spans="2:4">
      <c r="B97" s="22" t="e">
        <f>#REF!</f>
        <v>#REF!</v>
      </c>
      <c r="C97" s="35"/>
      <c r="D97" s="36"/>
    </row>
    <row r="98" ht="16.35" spans="2:4">
      <c r="B98" s="22" t="e">
        <f>#REF!</f>
        <v>#REF!</v>
      </c>
      <c r="C98" s="35"/>
      <c r="D98" s="36"/>
    </row>
    <row r="99" ht="16.35" spans="2:4">
      <c r="B99" s="22" t="e">
        <f>#REF!</f>
        <v>#REF!</v>
      </c>
      <c r="C99" s="35"/>
      <c r="D99" s="36"/>
    </row>
    <row r="100" ht="16.35" spans="2:4">
      <c r="B100" s="22" t="e">
        <f>#REF!</f>
        <v>#REF!</v>
      </c>
      <c r="C100" s="35"/>
      <c r="D100" s="36"/>
    </row>
    <row r="101" ht="16.35" spans="2:4">
      <c r="B101" s="22" t="e">
        <f>#REF!</f>
        <v>#REF!</v>
      </c>
      <c r="C101" s="35"/>
      <c r="D101" s="36"/>
    </row>
    <row r="102" ht="16.35" spans="2:4">
      <c r="B102" s="22" t="e">
        <f>#REF!</f>
        <v>#REF!</v>
      </c>
      <c r="C102" s="35"/>
      <c r="D102" s="36"/>
    </row>
    <row r="103" ht="16.35" spans="2:4">
      <c r="B103" s="22" t="e">
        <f>#REF!</f>
        <v>#REF!</v>
      </c>
      <c r="C103" s="35"/>
      <c r="D103" s="36"/>
    </row>
    <row r="104" ht="16.35" spans="2:4">
      <c r="B104" s="22" t="e">
        <f>#REF!</f>
        <v>#REF!</v>
      </c>
      <c r="C104" s="35"/>
      <c r="D104" s="36"/>
    </row>
    <row r="105" ht="16.35" spans="2:4">
      <c r="B105" s="22" t="e">
        <f>#REF!</f>
        <v>#REF!</v>
      </c>
      <c r="C105" s="35"/>
      <c r="D105" s="36"/>
    </row>
    <row r="106" ht="16.35" spans="2:4">
      <c r="B106" s="22" t="e">
        <f>#REF!</f>
        <v>#REF!</v>
      </c>
      <c r="C106" s="35"/>
      <c r="D106" s="36"/>
    </row>
    <row r="107" ht="16.35" spans="2:4">
      <c r="B107" s="22" t="e">
        <f>#REF!</f>
        <v>#REF!</v>
      </c>
      <c r="C107" s="35"/>
      <c r="D107" s="36"/>
    </row>
    <row r="108" ht="16.35" spans="2:4">
      <c r="B108" s="22" t="e">
        <f>#REF!</f>
        <v>#REF!</v>
      </c>
      <c r="C108" s="35"/>
      <c r="D108" s="36"/>
    </row>
    <row r="109" ht="16.35" spans="2:4">
      <c r="B109" s="22" t="e">
        <f>#REF!</f>
        <v>#REF!</v>
      </c>
      <c r="C109" s="35"/>
      <c r="D109" s="36"/>
    </row>
    <row r="110" ht="16.35" spans="2:4">
      <c r="B110" s="22" t="e">
        <f>#REF!</f>
        <v>#REF!</v>
      </c>
      <c r="C110" s="35"/>
      <c r="D110" s="36"/>
    </row>
    <row r="111" ht="16.35" spans="2:4">
      <c r="B111" s="22" t="e">
        <f>#REF!</f>
        <v>#REF!</v>
      </c>
      <c r="C111" s="35"/>
      <c r="D111" s="36"/>
    </row>
    <row r="112" ht="16.35" spans="2:4">
      <c r="B112" s="22" t="e">
        <f>#REF!</f>
        <v>#REF!</v>
      </c>
      <c r="C112" s="35"/>
      <c r="D112" s="36"/>
    </row>
    <row r="113" ht="16.35" spans="2:4">
      <c r="B113" s="22" t="e">
        <f>#REF!</f>
        <v>#REF!</v>
      </c>
      <c r="C113" s="35"/>
      <c r="D113" s="36"/>
    </row>
    <row r="114" ht="16.35" spans="2:4">
      <c r="B114" s="22" t="e">
        <f>#REF!</f>
        <v>#REF!</v>
      </c>
      <c r="C114" s="35"/>
      <c r="D114" s="36"/>
    </row>
    <row r="115" ht="16.35" spans="2:4">
      <c r="B115" s="22" t="e">
        <f>#REF!</f>
        <v>#REF!</v>
      </c>
      <c r="C115" s="35">
        <v>30</v>
      </c>
      <c r="D115" s="36"/>
    </row>
    <row r="116" ht="16.35" spans="2:4">
      <c r="B116" s="22" t="e">
        <f>#REF!</f>
        <v>#REF!</v>
      </c>
      <c r="C116" s="35"/>
      <c r="D116" s="36"/>
    </row>
    <row r="117" ht="16.35" spans="2:4">
      <c r="B117" s="22" t="e">
        <f>#REF!</f>
        <v>#REF!</v>
      </c>
      <c r="C117" s="35"/>
      <c r="D117" s="36"/>
    </row>
    <row r="118" ht="16.35" spans="2:4">
      <c r="B118" s="22" t="e">
        <f>#REF!</f>
        <v>#REF!</v>
      </c>
      <c r="C118" s="35"/>
      <c r="D118" s="36"/>
    </row>
    <row r="119" ht="16.35" spans="2:4">
      <c r="B119" s="22" t="e">
        <f>#REF!</f>
        <v>#REF!</v>
      </c>
      <c r="C119" s="35"/>
      <c r="D119" s="36"/>
    </row>
    <row r="120" ht="16.35" spans="2:4">
      <c r="B120" s="22" t="e">
        <f>#REF!</f>
        <v>#REF!</v>
      </c>
      <c r="C120" s="35"/>
      <c r="D120" s="36"/>
    </row>
    <row r="121" ht="16.35" spans="2:4">
      <c r="B121" s="22" t="e">
        <f>#REF!</f>
        <v>#REF!</v>
      </c>
      <c r="C121" s="35"/>
      <c r="D121" s="36"/>
    </row>
    <row r="122" ht="16.35" spans="2:4">
      <c r="B122" s="22" t="e">
        <f>#REF!</f>
        <v>#REF!</v>
      </c>
      <c r="C122" s="35"/>
      <c r="D122" s="36"/>
    </row>
    <row r="123" ht="16.35" spans="2:4">
      <c r="B123" s="22" t="e">
        <f>#REF!</f>
        <v>#REF!</v>
      </c>
      <c r="C123" s="35"/>
      <c r="D123" s="36"/>
    </row>
    <row r="124" ht="16.35" spans="2:4">
      <c r="B124" s="22" t="e">
        <f>#REF!</f>
        <v>#REF!</v>
      </c>
      <c r="C124" s="35"/>
      <c r="D124" s="36"/>
    </row>
    <row r="125" ht="16.35" spans="2:4">
      <c r="B125" s="22" t="e">
        <f>#REF!</f>
        <v>#REF!</v>
      </c>
      <c r="C125" s="35"/>
      <c r="D125" s="36"/>
    </row>
    <row r="126" ht="16.35" spans="2:4">
      <c r="B126" s="22" t="e">
        <f>#REF!</f>
        <v>#REF!</v>
      </c>
      <c r="C126" s="35"/>
      <c r="D126" s="36"/>
    </row>
    <row r="127" ht="16.35" spans="2:4">
      <c r="B127" s="22" t="e">
        <f>#REF!</f>
        <v>#REF!</v>
      </c>
      <c r="C127" s="35"/>
      <c r="D127" s="36"/>
    </row>
    <row r="128" ht="16.35" spans="2:4">
      <c r="B128" s="22" t="e">
        <f>#REF!</f>
        <v>#REF!</v>
      </c>
      <c r="C128" s="35"/>
      <c r="D128" s="36"/>
    </row>
    <row r="129" ht="16.35" spans="2:4">
      <c r="B129" s="22" t="e">
        <f>#REF!</f>
        <v>#REF!</v>
      </c>
      <c r="C129" s="35"/>
      <c r="D129" s="36"/>
    </row>
    <row r="130" ht="16.35" spans="2:4">
      <c r="B130" s="22" t="e">
        <f>#REF!</f>
        <v>#REF!</v>
      </c>
      <c r="C130" s="35"/>
      <c r="D130" s="36"/>
    </row>
    <row r="131" ht="16.35" spans="2:4">
      <c r="B131" s="22" t="e">
        <f>#REF!</f>
        <v>#REF!</v>
      </c>
      <c r="C131" s="35"/>
      <c r="D131" s="36"/>
    </row>
    <row r="132" ht="16.35" spans="2:4">
      <c r="B132" s="22" t="e">
        <f>#REF!</f>
        <v>#REF!</v>
      </c>
      <c r="C132" s="35"/>
      <c r="D132" s="36"/>
    </row>
    <row r="133" ht="16.35" spans="2:4">
      <c r="B133" s="22" t="e">
        <f>#REF!</f>
        <v>#REF!</v>
      </c>
      <c r="C133" s="35"/>
      <c r="D133" s="36"/>
    </row>
    <row r="134" ht="16.35" spans="2:4">
      <c r="B134" s="22" t="e">
        <f>#REF!</f>
        <v>#REF!</v>
      </c>
      <c r="C134" s="35"/>
      <c r="D134" s="36"/>
    </row>
    <row r="135" ht="16.35" spans="2:4">
      <c r="B135" s="22" t="e">
        <f>#REF!</f>
        <v>#REF!</v>
      </c>
      <c r="C135" s="35"/>
      <c r="D135" s="36"/>
    </row>
    <row r="136" ht="16.35" spans="2:4">
      <c r="B136" s="22" t="e">
        <f>#REF!</f>
        <v>#REF!</v>
      </c>
      <c r="C136" s="35"/>
      <c r="D136" s="36"/>
    </row>
    <row r="137" ht="16.35" spans="2:4">
      <c r="B137" s="22" t="e">
        <f>#REF!</f>
        <v>#REF!</v>
      </c>
      <c r="C137" s="35"/>
      <c r="D137" s="36"/>
    </row>
    <row r="138" ht="16.35" spans="2:4">
      <c r="B138" s="22" t="e">
        <f>#REF!</f>
        <v>#REF!</v>
      </c>
      <c r="C138" s="35"/>
      <c r="D138" s="36"/>
    </row>
    <row r="139" ht="16.35" spans="2:4">
      <c r="B139" s="22" t="e">
        <f>#REF!</f>
        <v>#REF!</v>
      </c>
      <c r="C139" s="35">
        <v>30</v>
      </c>
      <c r="D139" s="36"/>
    </row>
    <row r="140" ht="16.35" spans="2:4">
      <c r="B140" s="22" t="e">
        <f>#REF!</f>
        <v>#REF!</v>
      </c>
      <c r="C140" s="35">
        <v>15</v>
      </c>
      <c r="D140" s="36"/>
    </row>
    <row r="141" ht="16.35" spans="2:4">
      <c r="B141" s="22" t="e">
        <f>#REF!</f>
        <v>#REF!</v>
      </c>
      <c r="C141" s="35">
        <v>15</v>
      </c>
      <c r="D141" s="36"/>
    </row>
    <row r="142" ht="16.35" spans="2:4">
      <c r="B142" s="22" t="e">
        <f>#REF!</f>
        <v>#REF!</v>
      </c>
      <c r="C142" s="35">
        <v>70</v>
      </c>
      <c r="D142" s="36"/>
    </row>
    <row r="143" ht="16.35" spans="2:4">
      <c r="B143" s="22" t="e">
        <f>#REF!</f>
        <v>#REF!</v>
      </c>
      <c r="C143" s="35">
        <v>80</v>
      </c>
      <c r="D143" s="36"/>
    </row>
    <row r="144" ht="16.35" spans="2:4">
      <c r="B144" s="22" t="e">
        <f>#REF!</f>
        <v>#REF!</v>
      </c>
      <c r="C144" s="35">
        <v>85</v>
      </c>
      <c r="D144" s="36"/>
    </row>
    <row r="145" ht="16.35" spans="2:4">
      <c r="B145" s="22" t="e">
        <f>#REF!</f>
        <v>#REF!</v>
      </c>
      <c r="C145" s="35">
        <v>85</v>
      </c>
      <c r="D145" s="36"/>
    </row>
    <row r="146" ht="16.35" spans="2:4">
      <c r="B146" s="22" t="e">
        <f>#REF!</f>
        <v>#REF!</v>
      </c>
      <c r="C146" s="35">
        <v>95</v>
      </c>
      <c r="D146" s="36"/>
    </row>
    <row r="147" ht="16.35" spans="2:4">
      <c r="B147" s="22" t="e">
        <f>#REF!</f>
        <v>#REF!</v>
      </c>
      <c r="C147" s="35">
        <v>95</v>
      </c>
      <c r="D147" s="36"/>
    </row>
    <row r="148" ht="16.35" spans="2:4">
      <c r="B148" s="22" t="e">
        <f>#REF!</f>
        <v>#REF!</v>
      </c>
      <c r="C148" s="35"/>
      <c r="D148" s="36"/>
    </row>
    <row r="149" ht="16.35" spans="2:4">
      <c r="B149" s="22" t="e">
        <f>#REF!</f>
        <v>#REF!</v>
      </c>
      <c r="C149" s="35"/>
      <c r="D149" s="36"/>
    </row>
    <row r="150" ht="16.35" spans="2:4">
      <c r="B150" s="22" t="e">
        <f>#REF!</f>
        <v>#REF!</v>
      </c>
      <c r="C150" s="35"/>
      <c r="D150" s="36"/>
    </row>
    <row r="151" ht="16.35" spans="2:4">
      <c r="B151" s="22" t="e">
        <f>#REF!</f>
        <v>#REF!</v>
      </c>
      <c r="C151" s="35"/>
      <c r="D151" s="36"/>
    </row>
    <row r="152" ht="16.35" spans="2:4">
      <c r="B152" s="22" t="e">
        <f>#REF!</f>
        <v>#REF!</v>
      </c>
      <c r="C152" s="35"/>
      <c r="D152" s="36"/>
    </row>
    <row r="153" ht="16.35" spans="2:4">
      <c r="B153" s="22" t="e">
        <f>#REF!</f>
        <v>#REF!</v>
      </c>
      <c r="C153" s="35"/>
      <c r="D153" s="36"/>
    </row>
    <row r="154" ht="16.35" spans="2:4">
      <c r="B154" s="22" t="e">
        <f>#REF!</f>
        <v>#REF!</v>
      </c>
      <c r="C154" s="35"/>
      <c r="D154" s="36"/>
    </row>
    <row r="155" ht="16.35" spans="2:4">
      <c r="B155" s="22" t="e">
        <f>#REF!</f>
        <v>#REF!</v>
      </c>
      <c r="C155" s="35"/>
      <c r="D155" s="36"/>
    </row>
    <row r="156" ht="16.35" spans="2:4">
      <c r="B156" s="22" t="e">
        <f>#REF!</f>
        <v>#REF!</v>
      </c>
      <c r="C156" s="35"/>
      <c r="D156" s="36"/>
    </row>
    <row r="157" ht="16.35" spans="2:4">
      <c r="B157" s="22" t="e">
        <f>#REF!</f>
        <v>#REF!</v>
      </c>
      <c r="C157" s="35"/>
      <c r="D157" s="36"/>
    </row>
    <row r="158" ht="16.35" spans="2:4">
      <c r="B158" s="22" t="e">
        <f>#REF!</f>
        <v>#REF!</v>
      </c>
      <c r="C158" s="35"/>
      <c r="D158" s="36"/>
    </row>
    <row r="159" ht="16.35" spans="2:4">
      <c r="B159" s="22" t="e">
        <f>#REF!</f>
        <v>#REF!</v>
      </c>
      <c r="C159" s="35">
        <v>188</v>
      </c>
      <c r="D159" s="36"/>
    </row>
    <row r="160" ht="16.35" spans="2:4">
      <c r="B160" s="22" t="e">
        <f>#REF!</f>
        <v>#REF!</v>
      </c>
      <c r="C160" s="35">
        <v>276</v>
      </c>
      <c r="D160" s="36"/>
    </row>
    <row r="161" ht="16.35" spans="2:4">
      <c r="B161" s="22" t="e">
        <f>#REF!</f>
        <v>#REF!</v>
      </c>
      <c r="C161" s="35">
        <v>276</v>
      </c>
      <c r="D161" s="36"/>
    </row>
    <row r="162" ht="16.35" spans="2:4">
      <c r="B162" s="22" t="e">
        <f>#REF!</f>
        <v>#REF!</v>
      </c>
      <c r="C162" s="35">
        <v>319</v>
      </c>
      <c r="D162" s="36"/>
    </row>
    <row r="163" ht="16.35" spans="2:4">
      <c r="B163" s="22" t="e">
        <f>#REF!</f>
        <v>#REF!</v>
      </c>
      <c r="C163" s="35">
        <v>289.8</v>
      </c>
      <c r="D163" s="36"/>
    </row>
    <row r="164" ht="16.35" spans="2:4">
      <c r="B164" s="22" t="e">
        <f>#REF!</f>
        <v>#REF!</v>
      </c>
      <c r="C164" s="35">
        <v>324.8</v>
      </c>
      <c r="D164" s="36"/>
    </row>
    <row r="165" ht="16.35" spans="2:4">
      <c r="B165" s="22" t="e">
        <f>#REF!</f>
        <v>#REF!</v>
      </c>
      <c r="C165" s="35">
        <v>347.8</v>
      </c>
      <c r="D165" s="36"/>
    </row>
    <row r="166" ht="16.35" spans="2:4">
      <c r="B166" s="22" t="e">
        <f>#REF!</f>
        <v>#REF!</v>
      </c>
      <c r="C166" s="35">
        <v>339.8</v>
      </c>
      <c r="D166" s="36"/>
    </row>
    <row r="167" ht="16.35" spans="2:4">
      <c r="B167" s="22" t="e">
        <f>#REF!</f>
        <v>#REF!</v>
      </c>
      <c r="C167" s="35">
        <v>344.8</v>
      </c>
      <c r="D167" s="36"/>
    </row>
    <row r="168" ht="16.35" spans="2:4">
      <c r="B168" s="22" t="e">
        <f>#REF!</f>
        <v>#REF!</v>
      </c>
      <c r="C168" s="35">
        <v>381.8</v>
      </c>
      <c r="D168" s="36"/>
    </row>
    <row r="169" ht="16.35" spans="2:4">
      <c r="B169" s="22" t="e">
        <f>#REF!</f>
        <v>#REF!</v>
      </c>
      <c r="C169" s="35">
        <v>325</v>
      </c>
      <c r="D169" s="36"/>
    </row>
    <row r="170" ht="16.35" spans="2:4">
      <c r="B170" s="22" t="e">
        <f>#REF!</f>
        <v>#REF!</v>
      </c>
      <c r="C170" s="35"/>
      <c r="D170" s="36">
        <v>227.3</v>
      </c>
    </row>
    <row r="171" ht="16.35" spans="2:4">
      <c r="B171" s="22" t="e">
        <f>#REF!</f>
        <v>#REF!</v>
      </c>
      <c r="C171" s="35">
        <v>62.8</v>
      </c>
      <c r="D171" s="36"/>
    </row>
    <row r="172" ht="16.35" spans="2:4">
      <c r="B172" s="22" t="e">
        <f>#REF!</f>
        <v>#REF!</v>
      </c>
      <c r="C172" s="35">
        <v>196.3</v>
      </c>
      <c r="D172" s="36">
        <v>8</v>
      </c>
    </row>
    <row r="173" ht="16.35" spans="2:4">
      <c r="B173" s="22" t="e">
        <f>#REF!</f>
        <v>#REF!</v>
      </c>
      <c r="C173" s="35">
        <v>216.3</v>
      </c>
      <c r="D173" s="36"/>
    </row>
    <row r="174" ht="16.35" spans="2:4">
      <c r="B174" s="22" t="e">
        <f>#REF!</f>
        <v>#REF!</v>
      </c>
      <c r="C174" s="35">
        <v>260.5</v>
      </c>
      <c r="D174" s="36"/>
    </row>
    <row r="175" ht="16.35" spans="2:4">
      <c r="B175" s="22" t="e">
        <f>#REF!</f>
        <v>#REF!</v>
      </c>
      <c r="C175" s="35">
        <v>252.5</v>
      </c>
      <c r="D175" s="36"/>
    </row>
    <row r="176" ht="16.35" spans="2:4">
      <c r="B176" s="22" t="e">
        <f>#REF!</f>
        <v>#REF!</v>
      </c>
      <c r="C176" s="35">
        <v>112.5</v>
      </c>
      <c r="D176" s="36"/>
    </row>
    <row r="177" ht="16.35" spans="2:4">
      <c r="B177" s="22" t="e">
        <f>#REF!</f>
        <v>#REF!</v>
      </c>
      <c r="C177" s="35">
        <v>373.5</v>
      </c>
      <c r="D177" s="36">
        <v>8</v>
      </c>
    </row>
    <row r="178" ht="16.35" spans="2:4">
      <c r="B178" s="22" t="e">
        <f>#REF!</f>
        <v>#REF!</v>
      </c>
      <c r="C178" s="35">
        <v>516</v>
      </c>
      <c r="D178" s="36"/>
    </row>
    <row r="179" ht="16.35" spans="2:4">
      <c r="B179" s="22" t="e">
        <f>#REF!</f>
        <v>#REF!</v>
      </c>
      <c r="C179" s="35">
        <v>497.5</v>
      </c>
      <c r="D179" s="36"/>
    </row>
    <row r="180" ht="16.35" spans="2:4">
      <c r="B180" s="22" t="e">
        <f>#REF!</f>
        <v>#REF!</v>
      </c>
      <c r="C180" s="35">
        <v>447</v>
      </c>
      <c r="D180" s="36"/>
    </row>
    <row r="181" ht="16.35" spans="2:4">
      <c r="B181" s="22" t="e">
        <f>#REF!</f>
        <v>#REF!</v>
      </c>
      <c r="C181" s="35">
        <v>455.5</v>
      </c>
      <c r="D181" s="36"/>
    </row>
    <row r="182" ht="16.35" spans="2:4">
      <c r="B182" s="22" t="e">
        <f>#REF!</f>
        <v>#REF!</v>
      </c>
      <c r="C182" s="35">
        <v>482.5</v>
      </c>
      <c r="D182" s="36">
        <v>8</v>
      </c>
    </row>
    <row r="183" ht="16.35" spans="2:4">
      <c r="B183" s="22" t="e">
        <f>#REF!</f>
        <v>#REF!</v>
      </c>
      <c r="C183" s="35">
        <v>420</v>
      </c>
      <c r="D183" s="36"/>
    </row>
    <row r="184" ht="16.35" spans="2:4">
      <c r="B184" s="22" t="e">
        <f>#REF!</f>
        <v>#REF!</v>
      </c>
      <c r="C184" s="35">
        <v>438.5</v>
      </c>
      <c r="D184" s="36"/>
    </row>
    <row r="185" ht="16.35" spans="2:4">
      <c r="B185" s="22" t="e">
        <f>#REF!</f>
        <v>#REF!</v>
      </c>
      <c r="C185" s="35">
        <v>355</v>
      </c>
      <c r="D185" s="36"/>
    </row>
    <row r="186" ht="16.35" spans="2:4">
      <c r="B186" s="22" t="e">
        <f>#REF!</f>
        <v>#REF!</v>
      </c>
      <c r="C186" s="35">
        <v>404</v>
      </c>
      <c r="D186" s="36"/>
    </row>
    <row r="187" ht="16.35" spans="2:4">
      <c r="B187" s="22" t="e">
        <f>#REF!</f>
        <v>#REF!</v>
      </c>
      <c r="C187" s="35">
        <v>294</v>
      </c>
      <c r="D187" s="36"/>
    </row>
    <row r="188" ht="16.35" spans="2:4">
      <c r="B188" s="22" t="e">
        <f>#REF!</f>
        <v>#REF!</v>
      </c>
      <c r="C188" s="35">
        <v>322</v>
      </c>
      <c r="D188" s="36"/>
    </row>
    <row r="189" ht="16.35" spans="2:4">
      <c r="B189" s="22" t="e">
        <f>#REF!</f>
        <v>#REF!</v>
      </c>
      <c r="C189" s="35">
        <v>352</v>
      </c>
      <c r="D189" s="36"/>
    </row>
    <row r="190" ht="16.35" spans="2:4">
      <c r="B190" s="22" t="e">
        <f>#REF!</f>
        <v>#REF!</v>
      </c>
      <c r="C190" s="35">
        <v>142</v>
      </c>
      <c r="D190" s="36"/>
    </row>
    <row r="191" ht="16.35" spans="2:4">
      <c r="B191" s="22" t="e">
        <f>#REF!</f>
        <v>#REF!</v>
      </c>
      <c r="C191" s="35">
        <v>277</v>
      </c>
      <c r="D191" s="36"/>
    </row>
    <row r="192" ht="16.35" spans="2:4">
      <c r="B192" s="22" t="e">
        <f>#REF!</f>
        <v>#REF!</v>
      </c>
      <c r="C192" s="35">
        <v>252</v>
      </c>
      <c r="D192" s="36"/>
    </row>
    <row r="193" ht="16.35" spans="2:4">
      <c r="B193" s="22" t="e">
        <f>#REF!</f>
        <v>#REF!</v>
      </c>
      <c r="C193" s="35">
        <v>288</v>
      </c>
      <c r="D193" s="36"/>
    </row>
    <row r="194" ht="16.35" spans="2:4">
      <c r="B194" s="22" t="e">
        <f>#REF!</f>
        <v>#REF!</v>
      </c>
      <c r="C194" s="35">
        <v>244</v>
      </c>
      <c r="D194" s="36"/>
    </row>
    <row r="195" ht="16.35" spans="2:4">
      <c r="B195" s="22" t="e">
        <f>#REF!</f>
        <v>#REF!</v>
      </c>
      <c r="C195" s="35">
        <v>314</v>
      </c>
      <c r="D195" s="36"/>
    </row>
    <row r="196" ht="16.35" spans="2:4">
      <c r="B196" s="22" t="e">
        <f>#REF!</f>
        <v>#REF!</v>
      </c>
      <c r="C196" s="35" t="e">
        <f>'1D AZIR və 1W AZIR'!D197</f>
        <v>#REF!</v>
      </c>
      <c r="D196" s="36"/>
    </row>
    <row r="197" ht="16.35" spans="2:4">
      <c r="B197" s="22" t="e">
        <f>#REF!</f>
        <v>#REF!</v>
      </c>
      <c r="C197" s="35" t="e">
        <f>'1D AZIR və 1W AZIR'!D198</f>
        <v>#REF!</v>
      </c>
      <c r="D197" s="36"/>
    </row>
    <row r="198" ht="16.35" spans="2:4">
      <c r="B198" s="22" t="e">
        <f>#REF!</f>
        <v>#REF!</v>
      </c>
      <c r="C198" s="35" t="e">
        <f>'1D AZIR və 1W AZIR'!D199</f>
        <v>#REF!</v>
      </c>
      <c r="D198" s="36"/>
    </row>
    <row r="199" ht="16.35" spans="2:4">
      <c r="B199" s="22" t="e">
        <f>#REF!</f>
        <v>#REF!</v>
      </c>
      <c r="C199" s="35" t="e">
        <f>'1D AZIR və 1W AZIR'!D200</f>
        <v>#REF!</v>
      </c>
      <c r="D199" s="36"/>
    </row>
    <row r="200" ht="16.35" spans="2:4">
      <c r="B200" s="22" t="e">
        <f>#REF!</f>
        <v>#REF!</v>
      </c>
      <c r="C200" s="35" t="e">
        <f>'1D AZIR və 1W AZIR'!D201</f>
        <v>#REF!</v>
      </c>
      <c r="D200" s="36"/>
    </row>
    <row r="201" ht="16.35" spans="2:4">
      <c r="B201" s="22" t="e">
        <f>#REF!</f>
        <v>#REF!</v>
      </c>
      <c r="C201" s="35" t="e">
        <f>'1D AZIR və 1W AZIR'!D202</f>
        <v>#REF!</v>
      </c>
      <c r="D201" s="36"/>
    </row>
    <row r="202" ht="16.35" spans="2:4">
      <c r="B202" s="22" t="e">
        <f>#REF!</f>
        <v>#REF!</v>
      </c>
      <c r="C202" s="35" t="e">
        <f>'1D AZIR və 1W AZIR'!D203</f>
        <v>#REF!</v>
      </c>
      <c r="D202" s="36"/>
    </row>
    <row r="203" ht="16.35" spans="2:4">
      <c r="B203" s="22" t="e">
        <f>#REF!</f>
        <v>#REF!</v>
      </c>
      <c r="C203" s="35" t="e">
        <f>'1D AZIR və 1W AZIR'!D204</f>
        <v>#REF!</v>
      </c>
      <c r="D203" s="36"/>
    </row>
    <row r="204" ht="16.35" spans="2:4">
      <c r="B204" s="22" t="e">
        <f>#REF!</f>
        <v>#REF!</v>
      </c>
      <c r="C204" s="35" t="e">
        <f>'1D AZIR və 1W AZIR'!D205</f>
        <v>#REF!</v>
      </c>
      <c r="D204" s="36"/>
    </row>
    <row r="205" ht="16.35" spans="2:4">
      <c r="B205" s="22" t="e">
        <f>#REF!</f>
        <v>#REF!</v>
      </c>
      <c r="C205" s="35" t="e">
        <f>'1D AZIR və 1W AZIR'!D206</f>
        <v>#REF!</v>
      </c>
      <c r="D205" s="36"/>
    </row>
    <row r="206" ht="16.35" spans="2:4">
      <c r="B206" s="22" t="e">
        <f>#REF!</f>
        <v>#REF!</v>
      </c>
      <c r="C206" s="35" t="e">
        <f>'1D AZIR və 1W AZIR'!D207</f>
        <v>#REF!</v>
      </c>
      <c r="D206" s="36"/>
    </row>
    <row r="207" ht="16.35" spans="2:4">
      <c r="B207" s="22" t="e">
        <f>#REF!</f>
        <v>#REF!</v>
      </c>
      <c r="C207" s="35" t="e">
        <f>'1D AZIR və 1W AZIR'!D208</f>
        <v>#REF!</v>
      </c>
      <c r="D207" s="36"/>
    </row>
    <row r="208" ht="16.35" spans="2:4">
      <c r="B208" s="22" t="e">
        <f>#REF!</f>
        <v>#REF!</v>
      </c>
      <c r="C208" s="35" t="e">
        <f>'1D AZIR və 1W AZIR'!D209</f>
        <v>#REF!</v>
      </c>
      <c r="D208" s="36"/>
    </row>
    <row r="209" ht="16.35" spans="2:4">
      <c r="B209" s="22" t="e">
        <f>#REF!</f>
        <v>#REF!</v>
      </c>
      <c r="C209" s="35" t="e">
        <f>'1D AZIR və 1W AZIR'!D210</f>
        <v>#REF!</v>
      </c>
      <c r="D209" s="36"/>
    </row>
    <row r="210" ht="16.35" spans="2:4">
      <c r="B210" s="22" t="e">
        <f>#REF!</f>
        <v>#REF!</v>
      </c>
      <c r="C210" s="35" t="e">
        <f>'1D AZIR və 1W AZIR'!D211</f>
        <v>#REF!</v>
      </c>
      <c r="D210" s="36"/>
    </row>
    <row r="211" ht="16.35" spans="2:4">
      <c r="B211" s="22" t="e">
        <f>#REF!</f>
        <v>#REF!</v>
      </c>
      <c r="C211" s="35" t="e">
        <f>'1D AZIR və 1W AZIR'!D212</f>
        <v>#REF!</v>
      </c>
      <c r="D211" s="36"/>
    </row>
    <row r="212" ht="16.35" spans="2:4">
      <c r="B212" s="22" t="e">
        <f>#REF!</f>
        <v>#REF!</v>
      </c>
      <c r="C212" s="35" t="e">
        <f>'1D AZIR və 1W AZIR'!D213</f>
        <v>#REF!</v>
      </c>
      <c r="D212" s="36"/>
    </row>
    <row r="213" ht="16.35" spans="2:4">
      <c r="B213" s="22" t="e">
        <f>#REF!</f>
        <v>#REF!</v>
      </c>
      <c r="C213" s="35" t="e">
        <f>'1D AZIR və 1W AZIR'!D214</f>
        <v>#REF!</v>
      </c>
      <c r="D213" s="36"/>
    </row>
    <row r="214" ht="16.35" spans="2:4">
      <c r="B214" s="22" t="e">
        <f>#REF!</f>
        <v>#REF!</v>
      </c>
      <c r="C214" s="35" t="e">
        <f>'1D AZIR və 1W AZIR'!D215</f>
        <v>#REF!</v>
      </c>
      <c r="D214" s="36" t="e">
        <f>'1D AZIR və 1W AZIR'!G215</f>
        <v>#REF!</v>
      </c>
    </row>
    <row r="236" ht="15.15"/>
    <row r="237" spans="6:16">
      <c r="F237" s="26" t="s">
        <v>22</v>
      </c>
      <c r="G237" s="27"/>
      <c r="H237" s="27"/>
      <c r="I237" s="27"/>
      <c r="J237" s="27"/>
      <c r="K237" s="27"/>
      <c r="L237" s="27"/>
      <c r="M237" s="27"/>
      <c r="N237" s="27"/>
      <c r="O237" s="27"/>
      <c r="P237" s="32"/>
    </row>
    <row r="238" spans="6:16">
      <c r="F238" s="28"/>
      <c r="G238" s="29"/>
      <c r="H238" s="29"/>
      <c r="I238" s="29"/>
      <c r="J238" s="29"/>
      <c r="K238" s="29"/>
      <c r="L238" s="29"/>
      <c r="M238" s="29"/>
      <c r="N238" s="29"/>
      <c r="O238" s="29"/>
      <c r="P238" s="33"/>
    </row>
    <row r="239" spans="6:16">
      <c r="F239" s="28"/>
      <c r="G239" s="29"/>
      <c r="H239" s="29"/>
      <c r="I239" s="29"/>
      <c r="J239" s="29"/>
      <c r="K239" s="29"/>
      <c r="L239" s="29"/>
      <c r="M239" s="29"/>
      <c r="N239" s="29"/>
      <c r="O239" s="29"/>
      <c r="P239" s="33"/>
    </row>
    <row r="240" spans="6:16">
      <c r="F240" s="28"/>
      <c r="G240" s="29"/>
      <c r="H240" s="29"/>
      <c r="I240" s="29"/>
      <c r="J240" s="29"/>
      <c r="K240" s="29"/>
      <c r="L240" s="29"/>
      <c r="M240" s="29"/>
      <c r="N240" s="29"/>
      <c r="O240" s="29"/>
      <c r="P240" s="33"/>
    </row>
    <row r="241" ht="15.15" spans="6:16">
      <c r="F241" s="30"/>
      <c r="G241" s="31"/>
      <c r="H241" s="31"/>
      <c r="I241" s="31"/>
      <c r="J241" s="31"/>
      <c r="K241" s="31"/>
      <c r="L241" s="31"/>
      <c r="M241" s="31"/>
      <c r="N241" s="31"/>
      <c r="O241" s="31"/>
      <c r="P241" s="34"/>
    </row>
  </sheetData>
  <mergeCells count="1">
    <mergeCell ref="F237:P24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P234"/>
  <sheetViews>
    <sheetView workbookViewId="0">
      <pane xSplit="1" ySplit="2" topLeftCell="B201" activePane="bottomRight" state="frozen"/>
      <selection/>
      <selection pane="topRight"/>
      <selection pane="bottomLeft"/>
      <selection pane="bottomRight" activeCell="D212" sqref="D212:D213"/>
    </sheetView>
  </sheetViews>
  <sheetFormatPr defaultColWidth="9" defaultRowHeight="14.4"/>
  <cols>
    <col min="1" max="1" width="1.85185185185185" customWidth="1"/>
    <col min="2" max="2" width="16.5740740740741" customWidth="1"/>
    <col min="3" max="3" width="14.5740740740741" customWidth="1"/>
    <col min="4" max="4" width="15.4259259259259" customWidth="1"/>
  </cols>
  <sheetData>
    <row r="1" ht="15.15"/>
    <row r="2" ht="21" customHeight="1" spans="2:4">
      <c r="B2" s="19" t="s">
        <v>13</v>
      </c>
      <c r="C2" s="20" t="s">
        <v>17</v>
      </c>
      <c r="D2" s="21" t="s">
        <v>18</v>
      </c>
    </row>
    <row r="3" ht="16.5" customHeight="1" spans="2:4">
      <c r="B3" s="22">
        <v>45047</v>
      </c>
      <c r="C3" s="23">
        <v>11</v>
      </c>
      <c r="D3" s="24"/>
    </row>
    <row r="4" ht="16.35" spans="2:4">
      <c r="B4" s="22">
        <v>45048</v>
      </c>
      <c r="C4" s="23">
        <v>16</v>
      </c>
      <c r="D4" s="24">
        <v>2</v>
      </c>
    </row>
    <row r="5" ht="16.35" spans="2:4">
      <c r="B5" s="22">
        <v>45049</v>
      </c>
      <c r="C5" s="23">
        <v>14</v>
      </c>
      <c r="D5" s="25"/>
    </row>
    <row r="6" ht="16.35" spans="2:4">
      <c r="B6" s="22">
        <v>45050</v>
      </c>
      <c r="C6" s="23">
        <v>14</v>
      </c>
      <c r="D6" s="24">
        <v>1</v>
      </c>
    </row>
    <row r="7" ht="16.35" spans="2:4">
      <c r="B7" s="22">
        <v>45051</v>
      </c>
      <c r="C7" s="23">
        <v>14</v>
      </c>
      <c r="D7" s="24">
        <v>1</v>
      </c>
    </row>
    <row r="8" ht="16.35" spans="2:4">
      <c r="B8" s="22">
        <v>45054</v>
      </c>
      <c r="C8" s="23">
        <v>15</v>
      </c>
      <c r="D8" s="24"/>
    </row>
    <row r="9" ht="16.35" spans="2:4">
      <c r="B9" s="22">
        <v>45056</v>
      </c>
      <c r="C9" s="23">
        <v>14</v>
      </c>
      <c r="D9" s="24">
        <v>3</v>
      </c>
    </row>
    <row r="10" ht="16.35" spans="2:4">
      <c r="B10" s="22">
        <v>45057</v>
      </c>
      <c r="C10" s="23">
        <v>17</v>
      </c>
      <c r="D10" s="24"/>
    </row>
    <row r="11" ht="16.35" spans="2:4">
      <c r="B11" s="22">
        <v>45058</v>
      </c>
      <c r="C11" s="23">
        <v>14</v>
      </c>
      <c r="D11" s="24">
        <v>1</v>
      </c>
    </row>
    <row r="12" ht="16.35" spans="2:4">
      <c r="B12" s="22">
        <v>45061</v>
      </c>
      <c r="C12" s="23">
        <v>13</v>
      </c>
      <c r="D12" s="24"/>
    </row>
    <row r="13" ht="16.35" spans="2:4">
      <c r="B13" s="22">
        <v>45062</v>
      </c>
      <c r="C13" s="23">
        <v>14</v>
      </c>
      <c r="D13" s="24"/>
    </row>
    <row r="14" ht="16.35" spans="2:4">
      <c r="B14" s="22">
        <v>45063</v>
      </c>
      <c r="C14" s="23">
        <v>15</v>
      </c>
      <c r="D14" s="24">
        <v>3</v>
      </c>
    </row>
    <row r="15" ht="16.35" spans="2:4">
      <c r="B15" s="22">
        <v>45064</v>
      </c>
      <c r="C15" s="23">
        <v>16</v>
      </c>
      <c r="D15" s="24"/>
    </row>
    <row r="16" ht="16.35" spans="2:4">
      <c r="B16" s="22">
        <v>45065</v>
      </c>
      <c r="C16" s="23">
        <v>16</v>
      </c>
      <c r="D16" s="24"/>
    </row>
    <row r="17" ht="16.35" spans="2:4">
      <c r="B17" s="22">
        <v>45068</v>
      </c>
      <c r="C17" s="23">
        <v>12</v>
      </c>
      <c r="D17" s="24"/>
    </row>
    <row r="18" ht="16.35" spans="2:4">
      <c r="B18" s="22">
        <v>45069</v>
      </c>
      <c r="C18" s="23">
        <v>14</v>
      </c>
      <c r="D18" s="24"/>
    </row>
    <row r="19" ht="16.35" spans="2:4">
      <c r="B19" s="22">
        <v>45070</v>
      </c>
      <c r="C19" s="23">
        <v>19</v>
      </c>
      <c r="D19" s="24">
        <v>1</v>
      </c>
    </row>
    <row r="20" ht="16.35" spans="2:4">
      <c r="B20" s="22">
        <v>45071</v>
      </c>
      <c r="C20" s="23">
        <v>22</v>
      </c>
      <c r="D20" s="24"/>
    </row>
    <row r="21" ht="16.35" spans="2:4">
      <c r="B21" s="22">
        <v>45072</v>
      </c>
      <c r="C21" s="23"/>
      <c r="D21" s="24"/>
    </row>
    <row r="22" ht="16.35" spans="2:4">
      <c r="B22" s="22">
        <v>45076</v>
      </c>
      <c r="C22" s="23">
        <v>21</v>
      </c>
      <c r="D22" s="24"/>
    </row>
    <row r="23" ht="15" customHeight="1" spans="2:4">
      <c r="B23" s="22">
        <v>45077</v>
      </c>
      <c r="C23" s="23">
        <v>18</v>
      </c>
      <c r="D23" s="24">
        <v>1</v>
      </c>
    </row>
    <row r="24" ht="19.5" customHeight="1" spans="2:4">
      <c r="B24" s="22">
        <v>45078</v>
      </c>
      <c r="C24" s="23">
        <v>16</v>
      </c>
      <c r="D24" s="24"/>
    </row>
    <row r="25" ht="16.35" spans="2:4">
      <c r="B25" s="22">
        <v>45079</v>
      </c>
      <c r="C25" s="23">
        <v>16</v>
      </c>
      <c r="D25" s="24"/>
    </row>
    <row r="26" ht="16.35" spans="2:4">
      <c r="B26" s="22">
        <v>45082</v>
      </c>
      <c r="C26" s="23">
        <v>18</v>
      </c>
      <c r="D26" s="24"/>
    </row>
    <row r="27" ht="16.35" spans="2:4">
      <c r="B27" s="22">
        <v>45083</v>
      </c>
      <c r="C27" s="23">
        <v>18</v>
      </c>
      <c r="D27" s="24"/>
    </row>
    <row r="28" ht="16.35" spans="2:4">
      <c r="B28" s="22">
        <v>45084</v>
      </c>
      <c r="C28" s="23">
        <v>16</v>
      </c>
      <c r="D28" s="24">
        <v>1</v>
      </c>
    </row>
    <row r="29" ht="16.35" spans="2:4">
      <c r="B29" s="22">
        <v>45085</v>
      </c>
      <c r="C29" s="23">
        <v>15</v>
      </c>
      <c r="D29" s="24"/>
    </row>
    <row r="30" ht="16.35" spans="2:4">
      <c r="B30" s="22">
        <v>45086</v>
      </c>
      <c r="C30" s="23">
        <v>14</v>
      </c>
      <c r="D30" s="24"/>
    </row>
    <row r="31" ht="16.35" spans="2:4">
      <c r="B31" s="22">
        <v>45089</v>
      </c>
      <c r="C31" s="23">
        <v>15</v>
      </c>
      <c r="D31" s="24"/>
    </row>
    <row r="32" ht="16.35" spans="2:4">
      <c r="B32" s="22">
        <v>45090</v>
      </c>
      <c r="C32" s="23">
        <v>12</v>
      </c>
      <c r="D32" s="24"/>
    </row>
    <row r="33" ht="16.35" spans="2:4">
      <c r="B33" s="22">
        <v>45091</v>
      </c>
      <c r="C33" s="23">
        <v>14</v>
      </c>
      <c r="D33" s="24">
        <v>1</v>
      </c>
    </row>
    <row r="34" ht="16.35" spans="2:4">
      <c r="B34" s="22">
        <v>45093</v>
      </c>
      <c r="C34" s="23">
        <v>16</v>
      </c>
      <c r="D34" s="24"/>
    </row>
    <row r="35" ht="16.35" spans="2:4">
      <c r="B35" s="22">
        <v>45096</v>
      </c>
      <c r="C35" s="23">
        <v>11</v>
      </c>
      <c r="D35" s="24"/>
    </row>
    <row r="36" ht="16.35" spans="2:4">
      <c r="B36" s="22">
        <v>45097</v>
      </c>
      <c r="C36" s="23">
        <v>12</v>
      </c>
      <c r="D36" s="24"/>
    </row>
    <row r="37" ht="16.35" spans="2:4">
      <c r="B37" s="22">
        <v>45098</v>
      </c>
      <c r="C37" s="23">
        <v>13</v>
      </c>
      <c r="D37" s="24"/>
    </row>
    <row r="38" ht="16.35" spans="2:4">
      <c r="B38" s="22">
        <v>45099</v>
      </c>
      <c r="C38" s="23">
        <v>16</v>
      </c>
      <c r="D38" s="24"/>
    </row>
    <row r="39" ht="16.35" spans="2:4">
      <c r="B39" s="22">
        <v>45100</v>
      </c>
      <c r="C39" s="23">
        <v>14</v>
      </c>
      <c r="D39" s="24"/>
    </row>
    <row r="40" ht="16.35" spans="2:4">
      <c r="B40" s="22">
        <v>45101</v>
      </c>
      <c r="C40" s="23">
        <v>14</v>
      </c>
      <c r="D40" s="24"/>
    </row>
    <row r="41" ht="16.35" spans="2:4">
      <c r="B41" s="22">
        <v>45102</v>
      </c>
      <c r="C41" s="23"/>
      <c r="D41" s="24">
        <v>6</v>
      </c>
    </row>
    <row r="42" ht="16.35" spans="2:4">
      <c r="B42" s="22">
        <v>45110</v>
      </c>
      <c r="C42" s="23">
        <v>11</v>
      </c>
      <c r="D42" s="24">
        <v>1</v>
      </c>
    </row>
    <row r="43" ht="16.35" spans="2:4">
      <c r="B43" s="22">
        <v>45111</v>
      </c>
      <c r="C43" s="23">
        <v>10</v>
      </c>
      <c r="D43" s="24"/>
    </row>
    <row r="44" ht="16.35" spans="2:4">
      <c r="B44" s="22">
        <v>45112</v>
      </c>
      <c r="C44" s="23">
        <v>12</v>
      </c>
      <c r="D44" s="24"/>
    </row>
    <row r="45" ht="16.35" spans="2:4">
      <c r="B45" s="22">
        <v>45113</v>
      </c>
      <c r="C45" s="23">
        <v>10</v>
      </c>
      <c r="D45" s="24"/>
    </row>
    <row r="46" ht="16.35" spans="2:4">
      <c r="B46" s="22">
        <v>45114</v>
      </c>
      <c r="C46" s="23">
        <v>13</v>
      </c>
      <c r="D46" s="24"/>
    </row>
    <row r="47" ht="16.35" spans="2:4">
      <c r="B47" s="22">
        <v>45117</v>
      </c>
      <c r="C47" s="23">
        <v>13</v>
      </c>
      <c r="D47" s="24">
        <v>1</v>
      </c>
    </row>
    <row r="48" ht="16.35" spans="2:4">
      <c r="B48" s="22">
        <v>45118</v>
      </c>
      <c r="C48" s="23">
        <v>12</v>
      </c>
      <c r="D48" s="24"/>
    </row>
    <row r="49" ht="16.35" spans="2:4">
      <c r="B49" s="22">
        <v>45119</v>
      </c>
      <c r="C49" s="23">
        <v>10</v>
      </c>
      <c r="D49" s="24"/>
    </row>
    <row r="50" ht="16.35" spans="2:4">
      <c r="B50" s="22">
        <v>45120</v>
      </c>
      <c r="C50" s="23">
        <v>12</v>
      </c>
      <c r="D50" s="24"/>
    </row>
    <row r="51" ht="16.35" spans="2:4">
      <c r="B51" s="22">
        <v>45121</v>
      </c>
      <c r="C51" s="23">
        <v>10</v>
      </c>
      <c r="D51" s="24"/>
    </row>
    <row r="52" ht="16.35" spans="2:4">
      <c r="B52" s="22">
        <v>45124</v>
      </c>
      <c r="C52" s="23">
        <v>10</v>
      </c>
      <c r="D52" s="24">
        <v>1</v>
      </c>
    </row>
    <row r="53" ht="16.35" spans="2:4">
      <c r="B53" s="22">
        <v>45125</v>
      </c>
      <c r="C53" s="23">
        <v>10</v>
      </c>
      <c r="D53" s="24"/>
    </row>
    <row r="54" ht="16.35" spans="2:4">
      <c r="B54" s="22">
        <v>45126</v>
      </c>
      <c r="C54" s="23">
        <v>9</v>
      </c>
      <c r="D54" s="24"/>
    </row>
    <row r="55" ht="16.35" spans="2:4">
      <c r="B55" s="22">
        <v>45127</v>
      </c>
      <c r="C55" s="23">
        <v>10</v>
      </c>
      <c r="D55" s="24"/>
    </row>
    <row r="56" ht="16.35" spans="2:4">
      <c r="B56" s="22">
        <v>45128</v>
      </c>
      <c r="C56" s="23">
        <v>8</v>
      </c>
      <c r="D56" s="24"/>
    </row>
    <row r="57" ht="16.35" spans="2:4">
      <c r="B57" s="22">
        <v>45131</v>
      </c>
      <c r="C57" s="23">
        <v>7</v>
      </c>
      <c r="D57" s="24">
        <v>1</v>
      </c>
    </row>
    <row r="58" ht="16.35" spans="2:4">
      <c r="B58" s="22">
        <v>45132</v>
      </c>
      <c r="C58" s="23">
        <v>8</v>
      </c>
      <c r="D58" s="24"/>
    </row>
    <row r="59" ht="16.35" spans="2:4">
      <c r="B59" s="22">
        <v>45133</v>
      </c>
      <c r="C59" s="23">
        <v>8</v>
      </c>
      <c r="D59" s="24"/>
    </row>
    <row r="60" ht="16.35" spans="2:4">
      <c r="B60" s="22">
        <v>45134</v>
      </c>
      <c r="C60" s="23">
        <v>10</v>
      </c>
      <c r="D60" s="24"/>
    </row>
    <row r="61" ht="16.35" spans="2:4">
      <c r="B61" s="22">
        <v>45135</v>
      </c>
      <c r="C61" s="23">
        <v>9</v>
      </c>
      <c r="D61" s="24"/>
    </row>
    <row r="62" ht="16.35" spans="2:4">
      <c r="B62" s="22">
        <v>45138</v>
      </c>
      <c r="C62" s="23">
        <v>12</v>
      </c>
      <c r="D62" s="24"/>
    </row>
    <row r="63" ht="16.35" spans="2:4">
      <c r="B63" s="22">
        <v>45139</v>
      </c>
      <c r="C63" s="23">
        <v>12</v>
      </c>
      <c r="D63" s="24"/>
    </row>
    <row r="64" ht="16.35" spans="2:4">
      <c r="B64" s="22">
        <v>45140</v>
      </c>
      <c r="C64" s="23">
        <v>13</v>
      </c>
      <c r="D64" s="24"/>
    </row>
    <row r="65" ht="16.35" spans="2:4">
      <c r="B65" s="22">
        <v>45141</v>
      </c>
      <c r="C65" s="23">
        <v>11</v>
      </c>
      <c r="D65" s="24"/>
    </row>
    <row r="66" ht="16.35" spans="2:4">
      <c r="B66" s="22">
        <v>45142</v>
      </c>
      <c r="C66" s="23">
        <v>10</v>
      </c>
      <c r="D66" s="24"/>
    </row>
    <row r="67" ht="16.35" spans="2:4">
      <c r="B67" s="22">
        <v>45145</v>
      </c>
      <c r="C67" s="23">
        <v>12</v>
      </c>
      <c r="D67" s="24"/>
    </row>
    <row r="68" ht="16.35" spans="2:4">
      <c r="B68" s="22">
        <v>45146</v>
      </c>
      <c r="C68" s="23">
        <v>11</v>
      </c>
      <c r="D68" s="24"/>
    </row>
    <row r="69" ht="16.35" spans="2:4">
      <c r="B69" s="22">
        <v>45147</v>
      </c>
      <c r="C69" s="23">
        <v>11</v>
      </c>
      <c r="D69" s="24"/>
    </row>
    <row r="70" ht="16.35" spans="2:4">
      <c r="B70" s="22">
        <v>45148</v>
      </c>
      <c r="C70" s="23">
        <v>11</v>
      </c>
      <c r="D70" s="24"/>
    </row>
    <row r="71" ht="16.35" spans="2:4">
      <c r="B71" s="22">
        <v>45149</v>
      </c>
      <c r="C71" s="23">
        <v>11</v>
      </c>
      <c r="D71" s="24"/>
    </row>
    <row r="72" ht="16.35" spans="2:4">
      <c r="B72" s="22">
        <v>45152</v>
      </c>
      <c r="C72" s="23">
        <v>12</v>
      </c>
      <c r="D72" s="24"/>
    </row>
    <row r="73" ht="16.35" spans="2:4">
      <c r="B73" s="22">
        <v>45153</v>
      </c>
      <c r="C73" s="23">
        <v>15</v>
      </c>
      <c r="D73" s="24"/>
    </row>
    <row r="74" ht="16.35" spans="2:4">
      <c r="B74" s="22">
        <v>45154</v>
      </c>
      <c r="C74" s="23">
        <v>17</v>
      </c>
      <c r="D74" s="24"/>
    </row>
    <row r="75" ht="16.35" spans="2:4">
      <c r="B75" s="22">
        <v>45155</v>
      </c>
      <c r="C75" s="23">
        <v>15</v>
      </c>
      <c r="D75" s="24"/>
    </row>
    <row r="76" ht="16.35" spans="2:4">
      <c r="B76" s="22">
        <v>45156</v>
      </c>
      <c r="C76" s="23">
        <v>16</v>
      </c>
      <c r="D76" s="24"/>
    </row>
    <row r="77" ht="16.35" spans="2:4">
      <c r="B77" s="22">
        <v>45159</v>
      </c>
      <c r="C77" s="23">
        <v>16</v>
      </c>
      <c r="D77" s="24"/>
    </row>
    <row r="78" ht="16.35" spans="2:4">
      <c r="B78" s="22">
        <v>45160</v>
      </c>
      <c r="C78" s="23">
        <v>16</v>
      </c>
      <c r="D78" s="24"/>
    </row>
    <row r="79" ht="16.35" spans="2:4">
      <c r="B79" s="22">
        <v>45161</v>
      </c>
      <c r="C79" s="23">
        <v>17</v>
      </c>
      <c r="D79" s="24"/>
    </row>
    <row r="80" ht="16.35" spans="2:4">
      <c r="B80" s="22">
        <v>45162</v>
      </c>
      <c r="C80" s="23">
        <v>16</v>
      </c>
      <c r="D80" s="24"/>
    </row>
    <row r="81" ht="16.35" spans="2:4">
      <c r="B81" s="22">
        <v>45163</v>
      </c>
      <c r="C81" s="23">
        <v>23</v>
      </c>
      <c r="D81" s="24"/>
    </row>
    <row r="82" ht="16.35" spans="2:4">
      <c r="B82" s="22">
        <v>45166</v>
      </c>
      <c r="C82" s="23">
        <v>25</v>
      </c>
      <c r="D82" s="24"/>
    </row>
    <row r="83" ht="16.35" spans="2:4">
      <c r="B83" s="22">
        <v>45167</v>
      </c>
      <c r="C83" s="23">
        <v>25</v>
      </c>
      <c r="D83" s="24"/>
    </row>
    <row r="84" ht="16.35" spans="2:4">
      <c r="B84" s="22">
        <v>45168</v>
      </c>
      <c r="C84" s="23">
        <v>21</v>
      </c>
      <c r="D84" s="24"/>
    </row>
    <row r="85" ht="16.35" spans="2:4">
      <c r="B85" s="22">
        <v>45169</v>
      </c>
      <c r="C85" s="23">
        <v>17</v>
      </c>
      <c r="D85" s="24"/>
    </row>
    <row r="86" ht="16.35" spans="2:4">
      <c r="B86" s="22">
        <v>45170</v>
      </c>
      <c r="C86" s="23">
        <v>21</v>
      </c>
      <c r="D86" s="24"/>
    </row>
    <row r="87" ht="16.35" spans="2:4">
      <c r="B87" s="22">
        <v>45173</v>
      </c>
      <c r="C87" s="23">
        <v>26</v>
      </c>
      <c r="D87" s="24"/>
    </row>
    <row r="88" ht="16.35" spans="2:4">
      <c r="B88" s="22">
        <v>45174</v>
      </c>
      <c r="C88" s="23">
        <v>28</v>
      </c>
      <c r="D88" s="24"/>
    </row>
    <row r="89" ht="16.35" spans="2:4">
      <c r="B89" s="22">
        <v>45175</v>
      </c>
      <c r="C89" s="23">
        <v>23</v>
      </c>
      <c r="D89" s="24"/>
    </row>
    <row r="90" ht="16.35" spans="2:4">
      <c r="B90" s="22">
        <v>45176</v>
      </c>
      <c r="C90" s="23">
        <v>28</v>
      </c>
      <c r="D90" s="24"/>
    </row>
    <row r="91" ht="16.35" spans="2:4">
      <c r="B91" s="22">
        <v>45177</v>
      </c>
      <c r="C91" s="23">
        <v>26</v>
      </c>
      <c r="D91" s="24"/>
    </row>
    <row r="92" ht="16.35" spans="2:4">
      <c r="B92" s="22">
        <v>45180</v>
      </c>
      <c r="C92" s="23">
        <v>9</v>
      </c>
      <c r="D92" s="24"/>
    </row>
    <row r="93" ht="16.35" spans="2:4">
      <c r="B93" s="22">
        <v>45181</v>
      </c>
      <c r="C93" s="23">
        <v>2</v>
      </c>
      <c r="D93" s="24"/>
    </row>
    <row r="94" ht="16.35" spans="2:4">
      <c r="B94" s="22">
        <v>45182</v>
      </c>
      <c r="C94" s="23"/>
      <c r="D94" s="24"/>
    </row>
    <row r="95" ht="16.35" spans="2:4">
      <c r="B95" s="22">
        <v>45183</v>
      </c>
      <c r="C95" s="23"/>
      <c r="D95" s="24"/>
    </row>
    <row r="96" ht="16.35" spans="2:4">
      <c r="B96" s="22" t="e">
        <f>#REF!</f>
        <v>#REF!</v>
      </c>
      <c r="C96" s="23"/>
      <c r="D96" s="24"/>
    </row>
    <row r="97" ht="16.35" spans="2:4">
      <c r="B97" s="22" t="e">
        <f>#REF!</f>
        <v>#REF!</v>
      </c>
      <c r="C97" s="23"/>
      <c r="D97" s="24"/>
    </row>
    <row r="98" ht="16.35" spans="2:4">
      <c r="B98" s="22" t="e">
        <f>#REF!</f>
        <v>#REF!</v>
      </c>
      <c r="C98" s="23"/>
      <c r="D98" s="24"/>
    </row>
    <row r="99" ht="16.35" spans="2:4">
      <c r="B99" s="22" t="e">
        <f>#REF!</f>
        <v>#REF!</v>
      </c>
      <c r="C99" s="23"/>
      <c r="D99" s="24"/>
    </row>
    <row r="100" ht="16.35" spans="2:4">
      <c r="B100" s="22" t="e">
        <f>#REF!</f>
        <v>#REF!</v>
      </c>
      <c r="C100" s="23"/>
      <c r="D100" s="24"/>
    </row>
    <row r="101" ht="16.35" spans="2:4">
      <c r="B101" s="22" t="e">
        <f>#REF!</f>
        <v>#REF!</v>
      </c>
      <c r="C101" s="23"/>
      <c r="D101" s="24"/>
    </row>
    <row r="102" ht="16.35" spans="2:4">
      <c r="B102" s="22" t="e">
        <f>#REF!</f>
        <v>#REF!</v>
      </c>
      <c r="C102" s="23"/>
      <c r="D102" s="24"/>
    </row>
    <row r="103" ht="16.35" spans="2:4">
      <c r="B103" s="22" t="e">
        <f>#REF!</f>
        <v>#REF!</v>
      </c>
      <c r="C103" s="23"/>
      <c r="D103" s="24"/>
    </row>
    <row r="104" ht="16.35" spans="2:4">
      <c r="B104" s="22" t="e">
        <f>#REF!</f>
        <v>#REF!</v>
      </c>
      <c r="C104" s="23"/>
      <c r="D104" s="24"/>
    </row>
    <row r="105" ht="16.35" spans="2:4">
      <c r="B105" s="22" t="e">
        <f>#REF!</f>
        <v>#REF!</v>
      </c>
      <c r="C105" s="23"/>
      <c r="D105" s="24"/>
    </row>
    <row r="106" ht="16.35" spans="2:4">
      <c r="B106" s="22" t="e">
        <f>#REF!</f>
        <v>#REF!</v>
      </c>
      <c r="C106" s="23"/>
      <c r="D106" s="24"/>
    </row>
    <row r="107" ht="16.35" spans="2:4">
      <c r="B107" s="22" t="e">
        <f>#REF!</f>
        <v>#REF!</v>
      </c>
      <c r="C107" s="23"/>
      <c r="D107" s="24"/>
    </row>
    <row r="108" ht="16.35" spans="2:4">
      <c r="B108" s="22" t="e">
        <f>#REF!</f>
        <v>#REF!</v>
      </c>
      <c r="C108" s="23"/>
      <c r="D108" s="24"/>
    </row>
    <row r="109" ht="16.35" spans="2:4">
      <c r="B109" s="22" t="e">
        <f>#REF!</f>
        <v>#REF!</v>
      </c>
      <c r="C109" s="23"/>
      <c r="D109" s="24"/>
    </row>
    <row r="110" ht="16.35" spans="2:4">
      <c r="B110" s="22" t="e">
        <f>#REF!</f>
        <v>#REF!</v>
      </c>
      <c r="C110" s="23"/>
      <c r="D110" s="24"/>
    </row>
    <row r="111" ht="16.35" spans="2:4">
      <c r="B111" s="22" t="e">
        <f>#REF!</f>
        <v>#REF!</v>
      </c>
      <c r="C111" s="23"/>
      <c r="D111" s="24"/>
    </row>
    <row r="112" ht="16.35" spans="2:4">
      <c r="B112" s="22" t="e">
        <f>#REF!</f>
        <v>#REF!</v>
      </c>
      <c r="C112" s="23"/>
      <c r="D112" s="24"/>
    </row>
    <row r="113" ht="16.35" spans="2:4">
      <c r="B113" s="22" t="e">
        <f>#REF!</f>
        <v>#REF!</v>
      </c>
      <c r="C113" s="23"/>
      <c r="D113" s="24"/>
    </row>
    <row r="114" ht="16.35" spans="2:4">
      <c r="B114" s="22" t="e">
        <f>#REF!</f>
        <v>#REF!</v>
      </c>
      <c r="C114" s="23"/>
      <c r="D114" s="24"/>
    </row>
    <row r="115" ht="16.35" spans="2:4">
      <c r="B115" s="22" t="e">
        <f>#REF!</f>
        <v>#REF!</v>
      </c>
      <c r="C115" s="23">
        <v>1</v>
      </c>
      <c r="D115" s="24"/>
    </row>
    <row r="116" ht="16.35" spans="2:4">
      <c r="B116" s="22" t="e">
        <f>#REF!</f>
        <v>#REF!</v>
      </c>
      <c r="C116" s="23"/>
      <c r="D116" s="24"/>
    </row>
    <row r="117" ht="16.35" spans="2:4">
      <c r="B117" s="22" t="e">
        <f>#REF!</f>
        <v>#REF!</v>
      </c>
      <c r="C117" s="23"/>
      <c r="D117" s="24"/>
    </row>
    <row r="118" ht="16.35" spans="2:4">
      <c r="B118" s="22" t="e">
        <f>#REF!</f>
        <v>#REF!</v>
      </c>
      <c r="C118" s="23"/>
      <c r="D118" s="24"/>
    </row>
    <row r="119" ht="16.35" spans="2:4">
      <c r="B119" s="22" t="e">
        <f>#REF!</f>
        <v>#REF!</v>
      </c>
      <c r="C119" s="23"/>
      <c r="D119" s="24"/>
    </row>
    <row r="120" ht="16.35" spans="2:4">
      <c r="B120" s="22" t="e">
        <f>#REF!</f>
        <v>#REF!</v>
      </c>
      <c r="C120" s="23"/>
      <c r="D120" s="24"/>
    </row>
    <row r="121" ht="16.35" spans="2:4">
      <c r="B121" s="22" t="e">
        <f>#REF!</f>
        <v>#REF!</v>
      </c>
      <c r="C121" s="23"/>
      <c r="D121" s="24"/>
    </row>
    <row r="122" ht="16.35" spans="2:4">
      <c r="B122" s="22" t="e">
        <f>#REF!</f>
        <v>#REF!</v>
      </c>
      <c r="C122" s="23"/>
      <c r="D122" s="24"/>
    </row>
    <row r="123" ht="16.35" spans="2:4">
      <c r="B123" s="22" t="e">
        <f>#REF!</f>
        <v>#REF!</v>
      </c>
      <c r="C123" s="23"/>
      <c r="D123" s="24"/>
    </row>
    <row r="124" ht="16.35" spans="2:4">
      <c r="B124" s="22" t="e">
        <f>#REF!</f>
        <v>#REF!</v>
      </c>
      <c r="C124" s="23"/>
      <c r="D124" s="24"/>
    </row>
    <row r="125" ht="16.35" spans="2:4">
      <c r="B125" s="22" t="e">
        <f>#REF!</f>
        <v>#REF!</v>
      </c>
      <c r="C125" s="23"/>
      <c r="D125" s="24"/>
    </row>
    <row r="126" ht="16.35" spans="2:4">
      <c r="B126" s="22" t="e">
        <f>#REF!</f>
        <v>#REF!</v>
      </c>
      <c r="C126" s="23"/>
      <c r="D126" s="24"/>
    </row>
    <row r="127" ht="16.35" spans="2:4">
      <c r="B127" s="22" t="e">
        <f>#REF!</f>
        <v>#REF!</v>
      </c>
      <c r="C127" s="23"/>
      <c r="D127" s="24"/>
    </row>
    <row r="128" ht="16.35" spans="2:4">
      <c r="B128" s="22" t="e">
        <f>#REF!</f>
        <v>#REF!</v>
      </c>
      <c r="C128" s="23"/>
      <c r="D128" s="24"/>
    </row>
    <row r="129" ht="16.35" spans="2:4">
      <c r="B129" s="22" t="e">
        <f>#REF!</f>
        <v>#REF!</v>
      </c>
      <c r="C129" s="23"/>
      <c r="D129" s="24"/>
    </row>
    <row r="130" ht="16.35" spans="2:4">
      <c r="B130" s="22" t="e">
        <f>#REF!</f>
        <v>#REF!</v>
      </c>
      <c r="C130" s="23"/>
      <c r="D130" s="24"/>
    </row>
    <row r="131" ht="16.35" spans="2:4">
      <c r="B131" s="22" t="e">
        <f>#REF!</f>
        <v>#REF!</v>
      </c>
      <c r="C131" s="23"/>
      <c r="D131" s="24"/>
    </row>
    <row r="132" ht="16.35" spans="2:4">
      <c r="B132" s="22" t="e">
        <f>#REF!</f>
        <v>#REF!</v>
      </c>
      <c r="C132" s="23"/>
      <c r="D132" s="24"/>
    </row>
    <row r="133" ht="16.35" spans="2:4">
      <c r="B133" s="22" t="e">
        <f>#REF!</f>
        <v>#REF!</v>
      </c>
      <c r="C133" s="23"/>
      <c r="D133" s="24"/>
    </row>
    <row r="134" ht="16.35" spans="2:4">
      <c r="B134" s="22" t="e">
        <f>#REF!</f>
        <v>#REF!</v>
      </c>
      <c r="C134" s="23"/>
      <c r="D134" s="24"/>
    </row>
    <row r="135" ht="16.35" spans="2:4">
      <c r="B135" s="22" t="e">
        <f>#REF!</f>
        <v>#REF!</v>
      </c>
      <c r="C135" s="23"/>
      <c r="D135" s="24"/>
    </row>
    <row r="136" ht="16.35" spans="2:4">
      <c r="B136" s="22" t="e">
        <f>#REF!</f>
        <v>#REF!</v>
      </c>
      <c r="C136" s="23"/>
      <c r="D136" s="24"/>
    </row>
    <row r="137" ht="16.35" spans="2:4">
      <c r="B137" s="22" t="e">
        <f>#REF!</f>
        <v>#REF!</v>
      </c>
      <c r="C137" s="23"/>
      <c r="D137" s="24"/>
    </row>
    <row r="138" ht="16.35" spans="2:4">
      <c r="B138" s="22" t="e">
        <f>#REF!</f>
        <v>#REF!</v>
      </c>
      <c r="C138" s="23"/>
      <c r="D138" s="24"/>
    </row>
    <row r="139" ht="16.35" spans="2:4">
      <c r="B139" s="22" t="e">
        <f>#REF!</f>
        <v>#REF!</v>
      </c>
      <c r="C139" s="23">
        <v>2</v>
      </c>
      <c r="D139" s="24"/>
    </row>
    <row r="140" ht="16.35" spans="2:4">
      <c r="B140" s="22" t="e">
        <f>#REF!</f>
        <v>#REF!</v>
      </c>
      <c r="C140" s="23">
        <v>1</v>
      </c>
      <c r="D140" s="24"/>
    </row>
    <row r="141" ht="16.35" spans="2:4">
      <c r="B141" s="22" t="e">
        <f>#REF!</f>
        <v>#REF!</v>
      </c>
      <c r="C141" s="23">
        <v>1</v>
      </c>
      <c r="D141" s="24"/>
    </row>
    <row r="142" ht="16.35" spans="2:4">
      <c r="B142" s="22" t="e">
        <f>#REF!</f>
        <v>#REF!</v>
      </c>
      <c r="C142" s="23">
        <v>3</v>
      </c>
      <c r="D142" s="24"/>
    </row>
    <row r="143" ht="16.35" spans="2:4">
      <c r="B143" s="22" t="e">
        <f>#REF!</f>
        <v>#REF!</v>
      </c>
      <c r="C143" s="23">
        <v>4</v>
      </c>
      <c r="D143" s="24"/>
    </row>
    <row r="144" ht="16.35" spans="2:4">
      <c r="B144" s="22" t="e">
        <f>#REF!</f>
        <v>#REF!</v>
      </c>
      <c r="C144" s="23">
        <v>4</v>
      </c>
      <c r="D144" s="24"/>
    </row>
    <row r="145" ht="16.35" spans="2:4">
      <c r="B145" s="22" t="e">
        <f>#REF!</f>
        <v>#REF!</v>
      </c>
      <c r="C145" s="23">
        <v>4</v>
      </c>
      <c r="D145" s="24"/>
    </row>
    <row r="146" ht="16.35" spans="2:4">
      <c r="B146" s="22" t="e">
        <f>#REF!</f>
        <v>#REF!</v>
      </c>
      <c r="C146" s="23">
        <v>5</v>
      </c>
      <c r="D146" s="24"/>
    </row>
    <row r="147" ht="16.35" spans="2:4">
      <c r="B147" s="22" t="e">
        <f>#REF!</f>
        <v>#REF!</v>
      </c>
      <c r="C147" s="23">
        <v>5</v>
      </c>
      <c r="D147" s="24"/>
    </row>
    <row r="148" ht="16.35" spans="2:4">
      <c r="B148" s="22" t="e">
        <f>#REF!</f>
        <v>#REF!</v>
      </c>
      <c r="C148" s="23"/>
      <c r="D148" s="24"/>
    </row>
    <row r="149" ht="16.35" spans="2:4">
      <c r="B149" s="22" t="e">
        <f>#REF!</f>
        <v>#REF!</v>
      </c>
      <c r="C149" s="23"/>
      <c r="D149" s="24"/>
    </row>
    <row r="150" ht="16.35" spans="2:4">
      <c r="B150" s="22" t="e">
        <f>#REF!</f>
        <v>#REF!</v>
      </c>
      <c r="C150" s="23"/>
      <c r="D150" s="24"/>
    </row>
    <row r="151" ht="16.35" spans="2:4">
      <c r="B151" s="22" t="e">
        <f>#REF!</f>
        <v>#REF!</v>
      </c>
      <c r="C151" s="23"/>
      <c r="D151" s="24"/>
    </row>
    <row r="152" ht="16.35" spans="2:4">
      <c r="B152" s="22" t="e">
        <f>#REF!</f>
        <v>#REF!</v>
      </c>
      <c r="C152" s="23"/>
      <c r="D152" s="24"/>
    </row>
    <row r="153" ht="16.35" spans="2:4">
      <c r="B153" s="22" t="e">
        <f>#REF!</f>
        <v>#REF!</v>
      </c>
      <c r="C153" s="23"/>
      <c r="D153" s="24"/>
    </row>
    <row r="154" ht="16.35" spans="2:4">
      <c r="B154" s="22" t="e">
        <f>#REF!</f>
        <v>#REF!</v>
      </c>
      <c r="C154" s="23"/>
      <c r="D154" s="24"/>
    </row>
    <row r="155" ht="16.35" spans="2:4">
      <c r="B155" s="22" t="e">
        <f>#REF!</f>
        <v>#REF!</v>
      </c>
      <c r="C155" s="23"/>
      <c r="D155" s="24"/>
    </row>
    <row r="156" ht="16.35" spans="2:4">
      <c r="B156" s="22" t="e">
        <f>#REF!</f>
        <v>#REF!</v>
      </c>
      <c r="C156" s="23"/>
      <c r="D156" s="24"/>
    </row>
    <row r="157" ht="16.35" spans="2:4">
      <c r="B157" s="22" t="e">
        <f>#REF!</f>
        <v>#REF!</v>
      </c>
      <c r="C157" s="23"/>
      <c r="D157" s="24"/>
    </row>
    <row r="158" ht="16.35" spans="2:4">
      <c r="B158" s="22" t="e">
        <f>#REF!</f>
        <v>#REF!</v>
      </c>
      <c r="C158" s="23"/>
      <c r="D158" s="24"/>
    </row>
    <row r="159" ht="16.35" spans="2:4">
      <c r="B159" s="22" t="e">
        <f>#REF!</f>
        <v>#REF!</v>
      </c>
      <c r="C159" s="23">
        <v>8</v>
      </c>
      <c r="D159" s="24"/>
    </row>
    <row r="160" ht="16.35" spans="2:4">
      <c r="B160" s="22" t="e">
        <f>#REF!</f>
        <v>#REF!</v>
      </c>
      <c r="C160" s="23">
        <v>14</v>
      </c>
      <c r="D160" s="24"/>
    </row>
    <row r="161" ht="16.35" spans="2:4">
      <c r="B161" s="22" t="e">
        <f>#REF!</f>
        <v>#REF!</v>
      </c>
      <c r="C161" s="23">
        <v>13</v>
      </c>
      <c r="D161" s="24"/>
    </row>
    <row r="162" ht="16.35" spans="2:4">
      <c r="B162" s="22" t="e">
        <f>#REF!</f>
        <v>#REF!</v>
      </c>
      <c r="C162" s="23">
        <v>16</v>
      </c>
      <c r="D162" s="24"/>
    </row>
    <row r="163" ht="16.35" spans="2:4">
      <c r="B163" s="22" t="e">
        <f>#REF!</f>
        <v>#REF!</v>
      </c>
      <c r="C163" s="23">
        <v>13</v>
      </c>
      <c r="D163" s="24"/>
    </row>
    <row r="164" ht="16.35" spans="2:4">
      <c r="B164" s="22" t="e">
        <f>#REF!</f>
        <v>#REF!</v>
      </c>
      <c r="C164" s="23">
        <v>13</v>
      </c>
      <c r="D164" s="24"/>
    </row>
    <row r="165" ht="16.35" spans="2:4">
      <c r="B165" s="22" t="e">
        <f>#REF!</f>
        <v>#REF!</v>
      </c>
      <c r="C165" s="23">
        <v>14</v>
      </c>
      <c r="D165" s="24"/>
    </row>
    <row r="166" ht="16.35" spans="2:4">
      <c r="B166" s="22" t="e">
        <f>#REF!</f>
        <v>#REF!</v>
      </c>
      <c r="C166" s="23">
        <v>14</v>
      </c>
      <c r="D166" s="24"/>
    </row>
    <row r="167" ht="16.35" spans="2:4">
      <c r="B167" s="22" t="e">
        <f>#REF!</f>
        <v>#REF!</v>
      </c>
      <c r="C167" s="23">
        <v>15</v>
      </c>
      <c r="D167" s="24"/>
    </row>
    <row r="168" ht="16.35" spans="2:4">
      <c r="B168" s="22" t="e">
        <f>#REF!</f>
        <v>#REF!</v>
      </c>
      <c r="C168" s="23">
        <v>13</v>
      </c>
      <c r="D168" s="24"/>
    </row>
    <row r="169" ht="16.35" spans="2:4">
      <c r="B169" s="22" t="e">
        <f>#REF!</f>
        <v>#REF!</v>
      </c>
      <c r="C169" s="23">
        <v>8</v>
      </c>
      <c r="D169" s="24"/>
    </row>
    <row r="170" ht="16.35" spans="2:4">
      <c r="B170" s="22" t="e">
        <f>#REF!</f>
        <v>#REF!</v>
      </c>
      <c r="C170" s="23"/>
      <c r="D170" s="24">
        <v>8</v>
      </c>
    </row>
    <row r="171" ht="16.35" spans="2:4">
      <c r="B171" s="22" t="e">
        <f>#REF!</f>
        <v>#REF!</v>
      </c>
      <c r="C171" s="23">
        <v>3</v>
      </c>
      <c r="D171" s="24"/>
    </row>
    <row r="172" ht="16.35" spans="2:4">
      <c r="B172" s="22" t="e">
        <f>#REF!</f>
        <v>#REF!</v>
      </c>
      <c r="C172" s="23">
        <v>8</v>
      </c>
      <c r="D172" s="24">
        <v>1</v>
      </c>
    </row>
    <row r="173" ht="16.35" spans="2:4">
      <c r="B173" s="22" t="e">
        <f>#REF!</f>
        <v>#REF!</v>
      </c>
      <c r="C173" s="23">
        <v>9</v>
      </c>
      <c r="D173" s="24"/>
    </row>
    <row r="174" ht="16.35" spans="2:4">
      <c r="B174" s="22" t="e">
        <f>#REF!</f>
        <v>#REF!</v>
      </c>
      <c r="C174" s="23">
        <v>10</v>
      </c>
      <c r="D174" s="24"/>
    </row>
    <row r="175" ht="16.35" spans="2:4">
      <c r="B175" s="22" t="e">
        <f>#REF!</f>
        <v>#REF!</v>
      </c>
      <c r="C175" s="23">
        <v>10</v>
      </c>
      <c r="D175" s="24"/>
    </row>
    <row r="176" ht="16.35" spans="2:4">
      <c r="B176" s="22" t="e">
        <f>#REF!</f>
        <v>#REF!</v>
      </c>
      <c r="C176" s="23">
        <v>6</v>
      </c>
      <c r="D176" s="24"/>
    </row>
    <row r="177" ht="16.35" spans="2:4">
      <c r="B177" s="22" t="e">
        <f>#REF!</f>
        <v>#REF!</v>
      </c>
      <c r="C177" s="23">
        <v>13</v>
      </c>
      <c r="D177" s="24">
        <v>1</v>
      </c>
    </row>
    <row r="178" ht="16.35" spans="2:4">
      <c r="B178" s="22" t="e">
        <f>#REF!</f>
        <v>#REF!</v>
      </c>
      <c r="C178" s="23">
        <v>21</v>
      </c>
      <c r="D178" s="24"/>
    </row>
    <row r="179" ht="16.35" spans="2:4">
      <c r="B179" s="22" t="e">
        <f>#REF!</f>
        <v>#REF!</v>
      </c>
      <c r="C179" s="23">
        <v>21</v>
      </c>
      <c r="D179" s="24"/>
    </row>
    <row r="180" ht="16.35" spans="2:4">
      <c r="B180" s="22" t="e">
        <f>#REF!</f>
        <v>#REF!</v>
      </c>
      <c r="C180" s="23">
        <v>18</v>
      </c>
      <c r="D180" s="24"/>
    </row>
    <row r="181" ht="16.35" spans="2:4">
      <c r="B181" s="22" t="e">
        <f>#REF!</f>
        <v>#REF!</v>
      </c>
      <c r="C181" s="23">
        <v>19</v>
      </c>
      <c r="D181" s="24"/>
    </row>
    <row r="182" ht="16.35" spans="2:4">
      <c r="B182" s="22" t="e">
        <f>#REF!</f>
        <v>#REF!</v>
      </c>
      <c r="C182" s="23">
        <v>21</v>
      </c>
      <c r="D182" s="24">
        <v>1</v>
      </c>
    </row>
    <row r="183" ht="16.35" spans="2:4">
      <c r="B183" s="22" t="e">
        <f>#REF!</f>
        <v>#REF!</v>
      </c>
      <c r="C183" s="23">
        <v>17</v>
      </c>
      <c r="D183" s="24"/>
    </row>
    <row r="184" ht="16.35" spans="2:4">
      <c r="B184" s="22" t="e">
        <f>#REF!</f>
        <v>#REF!</v>
      </c>
      <c r="C184" s="23">
        <v>18</v>
      </c>
      <c r="D184" s="24"/>
    </row>
    <row r="185" ht="16.35" spans="2:4">
      <c r="B185" s="22" t="e">
        <f>#REF!</f>
        <v>#REF!</v>
      </c>
      <c r="C185" s="23">
        <v>14</v>
      </c>
      <c r="D185" s="24"/>
    </row>
    <row r="186" ht="16.35" spans="2:4">
      <c r="B186" s="22" t="e">
        <f>#REF!</f>
        <v>#REF!</v>
      </c>
      <c r="C186" s="23">
        <v>13</v>
      </c>
      <c r="D186" s="24"/>
    </row>
    <row r="187" ht="16.35" spans="2:4">
      <c r="B187" s="22" t="e">
        <f>#REF!</f>
        <v>#REF!</v>
      </c>
      <c r="C187" s="23">
        <v>11</v>
      </c>
      <c r="D187" s="24"/>
    </row>
    <row r="188" ht="16.35" spans="2:4">
      <c r="B188" s="22" t="e">
        <f>#REF!</f>
        <v>#REF!</v>
      </c>
      <c r="C188" s="23">
        <v>13</v>
      </c>
      <c r="D188" s="24"/>
    </row>
    <row r="189" ht="16.35" spans="2:4">
      <c r="B189" s="22" t="e">
        <f>#REF!</f>
        <v>#REF!</v>
      </c>
      <c r="C189" s="23">
        <v>14</v>
      </c>
      <c r="D189" s="24"/>
    </row>
    <row r="190" ht="16.35" spans="2:4">
      <c r="B190" s="22" t="e">
        <f>#REF!</f>
        <v>#REF!</v>
      </c>
      <c r="C190" s="23">
        <v>6</v>
      </c>
      <c r="D190" s="24"/>
    </row>
    <row r="191" ht="16.35" spans="2:4">
      <c r="B191" s="22" t="e">
        <f>#REF!</f>
        <v>#REF!</v>
      </c>
      <c r="C191" s="23">
        <v>11</v>
      </c>
      <c r="D191" s="24"/>
    </row>
    <row r="192" ht="16.35" spans="2:4">
      <c r="B192" s="22" t="e">
        <f>#REF!</f>
        <v>#REF!</v>
      </c>
      <c r="C192" s="23">
        <v>10</v>
      </c>
      <c r="D192" s="24"/>
    </row>
    <row r="193" ht="16.35" spans="2:4">
      <c r="B193" s="22" t="e">
        <f>#REF!</f>
        <v>#REF!</v>
      </c>
      <c r="C193" s="23">
        <v>10</v>
      </c>
      <c r="D193" s="24"/>
    </row>
    <row r="194" ht="16.35" spans="2:4">
      <c r="B194" s="22" t="e">
        <f>#REF!</f>
        <v>#REF!</v>
      </c>
      <c r="C194" s="23">
        <v>8</v>
      </c>
      <c r="D194" s="24"/>
    </row>
    <row r="195" ht="16.35" spans="2:4">
      <c r="B195" s="22" t="e">
        <f>#REF!</f>
        <v>#REF!</v>
      </c>
      <c r="C195" s="23">
        <v>12</v>
      </c>
      <c r="D195" s="24"/>
    </row>
    <row r="196" ht="16.35" spans="2:4">
      <c r="B196" s="22" t="e">
        <f>#REF!</f>
        <v>#REF!</v>
      </c>
      <c r="C196" s="23" t="e">
        <f>'1D AZIR və 1W AZIR'!E197</f>
        <v>#REF!</v>
      </c>
      <c r="D196" s="24"/>
    </row>
    <row r="197" ht="16.35" spans="2:4">
      <c r="B197" s="22" t="e">
        <f>#REF!</f>
        <v>#REF!</v>
      </c>
      <c r="C197" s="23" t="e">
        <f>'1D AZIR və 1W AZIR'!E198</f>
        <v>#REF!</v>
      </c>
      <c r="D197" s="24"/>
    </row>
    <row r="198" ht="16.35" spans="2:4">
      <c r="B198" s="22" t="e">
        <f>#REF!</f>
        <v>#REF!</v>
      </c>
      <c r="C198" s="23" t="e">
        <f>'1D AZIR və 1W AZIR'!E199</f>
        <v>#REF!</v>
      </c>
      <c r="D198" s="24"/>
    </row>
    <row r="199" ht="16.35" spans="2:4">
      <c r="B199" s="22" t="e">
        <f>#REF!</f>
        <v>#REF!</v>
      </c>
      <c r="C199" s="23" t="e">
        <f>'1D AZIR və 1W AZIR'!E200</f>
        <v>#REF!</v>
      </c>
      <c r="D199" s="24"/>
    </row>
    <row r="200" ht="16.35" spans="2:4">
      <c r="B200" s="22" t="e">
        <f>#REF!</f>
        <v>#REF!</v>
      </c>
      <c r="C200" s="23" t="e">
        <f>'1D AZIR və 1W AZIR'!E201</f>
        <v>#REF!</v>
      </c>
      <c r="D200" s="24"/>
    </row>
    <row r="201" ht="16.35" spans="2:4">
      <c r="B201" s="22" t="e">
        <f>#REF!</f>
        <v>#REF!</v>
      </c>
      <c r="C201" s="23" t="e">
        <f>'1D AZIR və 1W AZIR'!E202</f>
        <v>#REF!</v>
      </c>
      <c r="D201" s="24"/>
    </row>
    <row r="202" ht="16.35" spans="2:4">
      <c r="B202" s="22" t="e">
        <f>#REF!</f>
        <v>#REF!</v>
      </c>
      <c r="C202" s="23" t="e">
        <f>'1D AZIR və 1W AZIR'!E203</f>
        <v>#REF!</v>
      </c>
      <c r="D202" s="24"/>
    </row>
    <row r="203" ht="16.35" spans="2:4">
      <c r="B203" s="22" t="e">
        <f>#REF!</f>
        <v>#REF!</v>
      </c>
      <c r="C203" s="23" t="e">
        <f>'1D AZIR və 1W AZIR'!E204</f>
        <v>#REF!</v>
      </c>
      <c r="D203" s="24"/>
    </row>
    <row r="204" ht="16.35" spans="2:4">
      <c r="B204" s="22" t="e">
        <f>#REF!</f>
        <v>#REF!</v>
      </c>
      <c r="C204" s="23" t="e">
        <f>'1D AZIR və 1W AZIR'!E205</f>
        <v>#REF!</v>
      </c>
      <c r="D204" s="24"/>
    </row>
    <row r="205" ht="16.35" spans="2:4">
      <c r="B205" s="22" t="e">
        <f>#REF!</f>
        <v>#REF!</v>
      </c>
      <c r="C205" s="23" t="e">
        <f>'1D AZIR və 1W AZIR'!E206</f>
        <v>#REF!</v>
      </c>
      <c r="D205" s="24"/>
    </row>
    <row r="206" ht="16.35" spans="2:4">
      <c r="B206" s="22" t="e">
        <f>#REF!</f>
        <v>#REF!</v>
      </c>
      <c r="C206" s="23" t="e">
        <f>'1D AZIR və 1W AZIR'!E207</f>
        <v>#REF!</v>
      </c>
      <c r="D206" s="24"/>
    </row>
    <row r="207" ht="16.35" spans="2:4">
      <c r="B207" s="22" t="e">
        <f>#REF!</f>
        <v>#REF!</v>
      </c>
      <c r="C207" s="23" t="e">
        <f>'1D AZIR və 1W AZIR'!E208</f>
        <v>#REF!</v>
      </c>
      <c r="D207" s="24"/>
    </row>
    <row r="208" ht="16.35" spans="2:4">
      <c r="B208" s="22" t="e">
        <f>#REF!</f>
        <v>#REF!</v>
      </c>
      <c r="C208" s="23" t="e">
        <f>'1D AZIR və 1W AZIR'!E209</f>
        <v>#REF!</v>
      </c>
      <c r="D208" s="24"/>
    </row>
    <row r="209" ht="16.35" spans="2:4">
      <c r="B209" s="22" t="e">
        <f>#REF!</f>
        <v>#REF!</v>
      </c>
      <c r="C209" s="23" t="e">
        <f>'1D AZIR və 1W AZIR'!E210</f>
        <v>#REF!</v>
      </c>
      <c r="D209" s="24"/>
    </row>
    <row r="210" ht="16.35" spans="2:4">
      <c r="B210" s="22" t="e">
        <f>#REF!</f>
        <v>#REF!</v>
      </c>
      <c r="C210" s="23" t="e">
        <f>'1D AZIR və 1W AZIR'!E211</f>
        <v>#REF!</v>
      </c>
      <c r="D210" s="24"/>
    </row>
    <row r="211" ht="16.35" spans="2:4">
      <c r="B211" s="22" t="e">
        <f>#REF!</f>
        <v>#REF!</v>
      </c>
      <c r="C211" s="23" t="e">
        <f>'1D AZIR və 1W AZIR'!E212</f>
        <v>#REF!</v>
      </c>
      <c r="D211" s="24"/>
    </row>
    <row r="212" ht="16.35" spans="2:4">
      <c r="B212" s="22" t="e">
        <f>#REF!</f>
        <v>#REF!</v>
      </c>
      <c r="C212" s="23" t="e">
        <f>'1D AZIR və 1W AZIR'!E213</f>
        <v>#REF!</v>
      </c>
      <c r="D212" s="24"/>
    </row>
    <row r="213" ht="16.35" spans="2:4">
      <c r="B213" s="22" t="e">
        <f>#REF!</f>
        <v>#REF!</v>
      </c>
      <c r="C213" s="23" t="e">
        <f>'1D AZIR və 1W AZIR'!E214</f>
        <v>#REF!</v>
      </c>
      <c r="D213" s="24"/>
    </row>
    <row r="214" ht="16.35" spans="2:4">
      <c r="B214" s="22" t="e">
        <f>#REF!</f>
        <v>#REF!</v>
      </c>
      <c r="C214" s="23" t="e">
        <f>'1D AZIR və 1W AZIR'!E215</f>
        <v>#REF!</v>
      </c>
      <c r="D214" s="24" t="e">
        <f>'1D AZIR və 1W AZIR'!H215</f>
        <v>#REF!</v>
      </c>
    </row>
    <row r="229" ht="15.15"/>
    <row r="230" spans="6:16">
      <c r="F230" s="26" t="s">
        <v>22</v>
      </c>
      <c r="G230" s="27"/>
      <c r="H230" s="27"/>
      <c r="I230" s="27"/>
      <c r="J230" s="27"/>
      <c r="K230" s="27"/>
      <c r="L230" s="27"/>
      <c r="M230" s="27"/>
      <c r="N230" s="27"/>
      <c r="O230" s="27"/>
      <c r="P230" s="32"/>
    </row>
    <row r="231" spans="6:16">
      <c r="F231" s="28"/>
      <c r="G231" s="29"/>
      <c r="H231" s="29"/>
      <c r="I231" s="29"/>
      <c r="J231" s="29"/>
      <c r="K231" s="29"/>
      <c r="L231" s="29"/>
      <c r="M231" s="29"/>
      <c r="N231" s="29"/>
      <c r="O231" s="29"/>
      <c r="P231" s="33"/>
    </row>
    <row r="232" spans="6:16">
      <c r="F232" s="28"/>
      <c r="G232" s="29"/>
      <c r="H232" s="29"/>
      <c r="I232" s="29"/>
      <c r="J232" s="29"/>
      <c r="K232" s="29"/>
      <c r="L232" s="29"/>
      <c r="M232" s="29"/>
      <c r="N232" s="29"/>
      <c r="O232" s="29"/>
      <c r="P232" s="33"/>
    </row>
    <row r="233" spans="6:16">
      <c r="F233" s="28"/>
      <c r="G233" s="29"/>
      <c r="H233" s="29"/>
      <c r="I233" s="29"/>
      <c r="J233" s="29"/>
      <c r="K233" s="29"/>
      <c r="L233" s="29"/>
      <c r="M233" s="29"/>
      <c r="N233" s="29"/>
      <c r="O233" s="29"/>
      <c r="P233" s="33"/>
    </row>
    <row r="234" ht="15.15" spans="6:16">
      <c r="F234" s="30"/>
      <c r="G234" s="31"/>
      <c r="H234" s="31"/>
      <c r="I234" s="31"/>
      <c r="J234" s="31"/>
      <c r="K234" s="31"/>
      <c r="L234" s="31"/>
      <c r="M234" s="31"/>
      <c r="N234" s="31"/>
      <c r="O234" s="31"/>
      <c r="P234" s="34"/>
    </row>
  </sheetData>
  <mergeCells count="1">
    <mergeCell ref="F230:P234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45"/>
  <sheetViews>
    <sheetView showGridLines="0" tabSelected="1" workbookViewId="0">
      <pane xSplit="7" ySplit="7" topLeftCell="H8" activePane="bottomRight" state="frozen"/>
      <selection/>
      <selection pane="topRight"/>
      <selection pane="bottomLeft"/>
      <selection pane="bottomRight" activeCell="B7" sqref="B7"/>
    </sheetView>
  </sheetViews>
  <sheetFormatPr defaultColWidth="9" defaultRowHeight="14.4"/>
  <cols>
    <col min="1" max="1" width="3.71296296296296" customWidth="1"/>
    <col min="2" max="2" width="14.712962962963" style="1" customWidth="1"/>
    <col min="3" max="3" width="29.4259259259259" style="1" customWidth="1"/>
    <col min="4" max="4" width="29.4259259259259" style="2" customWidth="1"/>
    <col min="5" max="5" width="29.4259259259259" style="1" customWidth="1"/>
    <col min="6" max="7" width="2.57407407407407" customWidth="1"/>
    <col min="8" max="8" width="20.1388888888889" style="1" customWidth="1"/>
    <col min="9" max="9" width="24.1388888888889" style="1" customWidth="1"/>
    <col min="10" max="16384" width="9.13888888888889"/>
  </cols>
  <sheetData>
    <row r="2" spans="2:9">
      <c r="B2" s="3" t="s">
        <v>23</v>
      </c>
      <c r="C2" s="3"/>
      <c r="D2" s="3"/>
      <c r="E2" s="3"/>
      <c r="H2" s="4" t="s">
        <v>24</v>
      </c>
      <c r="I2" s="4"/>
    </row>
    <row r="3" ht="36.75" customHeight="1" spans="2:9">
      <c r="B3" s="3"/>
      <c r="C3" s="3"/>
      <c r="D3" s="3"/>
      <c r="E3" s="3"/>
      <c r="H3" s="4"/>
      <c r="I3" s="4"/>
    </row>
    <row r="4" ht="15" customHeight="1" spans="8:9">
      <c r="H4" s="5"/>
      <c r="I4" s="5"/>
    </row>
    <row r="5" ht="20.25" customHeight="1" spans="2:8">
      <c r="B5" s="6" t="s">
        <v>25</v>
      </c>
      <c r="H5" s="6" t="s">
        <v>26</v>
      </c>
    </row>
    <row r="6" spans="2:9">
      <c r="B6" s="7" t="s">
        <v>13</v>
      </c>
      <c r="C6" s="7" t="s">
        <v>27</v>
      </c>
      <c r="D6" s="7" t="s">
        <v>28</v>
      </c>
      <c r="E6" s="7" t="s">
        <v>29</v>
      </c>
      <c r="H6" s="7" t="s">
        <v>13</v>
      </c>
      <c r="I6" s="7" t="s">
        <v>30</v>
      </c>
    </row>
    <row r="7" ht="15" spans="2:9">
      <c r="B7" s="8">
        <f>'AZIR website'!B603</f>
        <v>45923</v>
      </c>
      <c r="C7" s="9">
        <v>0.069884</v>
      </c>
      <c r="D7" s="9">
        <v>0.070994</v>
      </c>
      <c r="E7" s="9">
        <v>0.071545</v>
      </c>
      <c r="H7" s="10">
        <v>45597</v>
      </c>
      <c r="I7" s="13">
        <v>100</v>
      </c>
    </row>
    <row r="8" ht="15" spans="2:9">
      <c r="B8" s="11"/>
      <c r="C8" s="12"/>
      <c r="D8" s="12"/>
      <c r="E8" s="12"/>
      <c r="H8" s="10">
        <v>45600</v>
      </c>
      <c r="I8" s="14">
        <v>100.020889</v>
      </c>
    </row>
    <row r="9" ht="15" spans="2:9">
      <c r="B9" s="11"/>
      <c r="C9" s="12"/>
      <c r="D9" s="12"/>
      <c r="E9" s="12"/>
      <c r="H9" s="10">
        <v>45601</v>
      </c>
      <c r="I9" s="14">
        <v>100.041727</v>
      </c>
    </row>
    <row r="10" ht="15" spans="2:9">
      <c r="B10" s="11"/>
      <c r="C10" s="12"/>
      <c r="D10" s="12"/>
      <c r="E10" s="12"/>
      <c r="H10" s="10">
        <v>45602</v>
      </c>
      <c r="I10" s="14">
        <v>100.062569</v>
      </c>
    </row>
    <row r="11" ht="15" spans="2:9">
      <c r="B11" s="11"/>
      <c r="C11" s="12"/>
      <c r="D11" s="12"/>
      <c r="E11" s="12"/>
      <c r="H11" s="10">
        <v>45603</v>
      </c>
      <c r="I11" s="14">
        <v>100.083415</v>
      </c>
    </row>
    <row r="12" ht="15" spans="2:9">
      <c r="B12" s="11"/>
      <c r="C12" s="12"/>
      <c r="D12" s="12"/>
      <c r="E12" s="12"/>
      <c r="H12" s="10">
        <v>45604</v>
      </c>
      <c r="I12" s="14">
        <v>100.104266</v>
      </c>
    </row>
    <row r="13" ht="15" spans="2:9">
      <c r="B13" s="11"/>
      <c r="C13" s="12"/>
      <c r="D13" s="12"/>
      <c r="E13" s="12"/>
      <c r="H13" s="10">
        <v>45607</v>
      </c>
      <c r="I13" s="14">
        <v>100.166831</v>
      </c>
    </row>
    <row r="14" ht="15" spans="2:9">
      <c r="B14" s="11"/>
      <c r="C14" s="12"/>
      <c r="D14" s="12"/>
      <c r="E14" s="12"/>
      <c r="H14" s="10">
        <v>45608</v>
      </c>
      <c r="I14" s="14">
        <v>100.187699</v>
      </c>
    </row>
    <row r="15" ht="15" spans="2:9">
      <c r="B15" s="11"/>
      <c r="C15" s="12"/>
      <c r="D15" s="12"/>
      <c r="E15" s="12"/>
      <c r="H15" s="10">
        <v>45609</v>
      </c>
      <c r="I15" s="14">
        <v>100.208571</v>
      </c>
    </row>
    <row r="16" ht="15" spans="2:9">
      <c r="B16" s="11"/>
      <c r="C16" s="12"/>
      <c r="D16" s="12"/>
      <c r="E16" s="12"/>
      <c r="H16" s="10">
        <v>45610</v>
      </c>
      <c r="I16" s="14">
        <v>100.230004</v>
      </c>
    </row>
    <row r="17" ht="15" spans="2:9">
      <c r="B17" s="11"/>
      <c r="C17" s="12"/>
      <c r="D17" s="12"/>
      <c r="E17" s="12"/>
      <c r="H17" s="10">
        <v>45611</v>
      </c>
      <c r="I17" s="14">
        <v>100.251275</v>
      </c>
    </row>
    <row r="18" ht="15" spans="2:9">
      <c r="B18" s="11"/>
      <c r="C18" s="12"/>
      <c r="D18" s="12"/>
      <c r="E18" s="12"/>
      <c r="H18" s="10">
        <v>45614</v>
      </c>
      <c r="I18" s="14">
        <v>100.315129</v>
      </c>
    </row>
    <row r="19" ht="15" spans="2:9">
      <c r="B19" s="11"/>
      <c r="C19" s="12"/>
      <c r="D19" s="12"/>
      <c r="E19" s="12"/>
      <c r="H19" s="10">
        <v>45615</v>
      </c>
      <c r="I19" s="14">
        <v>100.336613</v>
      </c>
    </row>
    <row r="20" ht="15" spans="2:9">
      <c r="B20" s="11"/>
      <c r="C20" s="12"/>
      <c r="D20" s="12"/>
      <c r="E20" s="12"/>
      <c r="H20" s="10">
        <v>45616</v>
      </c>
      <c r="I20" s="14">
        <v>100.358018</v>
      </c>
    </row>
    <row r="21" ht="15" spans="2:9">
      <c r="B21" s="11"/>
      <c r="C21" s="12"/>
      <c r="D21" s="12"/>
      <c r="E21" s="12"/>
      <c r="H21" s="10">
        <v>45617</v>
      </c>
      <c r="I21" s="14">
        <v>100.379456</v>
      </c>
    </row>
    <row r="22" ht="15" spans="2:9">
      <c r="B22" s="11"/>
      <c r="C22" s="12"/>
      <c r="D22" s="12"/>
      <c r="E22" s="12"/>
      <c r="H22" s="10">
        <v>45618</v>
      </c>
      <c r="I22" s="14">
        <v>100.400815</v>
      </c>
    </row>
    <row r="23" ht="15" spans="2:9">
      <c r="B23" s="11"/>
      <c r="C23" s="12"/>
      <c r="D23" s="12"/>
      <c r="E23" s="12"/>
      <c r="H23" s="10">
        <v>45621</v>
      </c>
      <c r="I23" s="14">
        <v>100.465127</v>
      </c>
    </row>
    <row r="24" ht="15" spans="2:9">
      <c r="B24" s="11"/>
      <c r="C24" s="12"/>
      <c r="D24" s="12"/>
      <c r="E24" s="12"/>
      <c r="H24" s="10">
        <v>45622</v>
      </c>
      <c r="I24" s="14">
        <v>100.486978</v>
      </c>
    </row>
    <row r="25" ht="15" spans="2:9">
      <c r="B25" s="11"/>
      <c r="C25" s="12"/>
      <c r="D25" s="12"/>
      <c r="E25" s="12"/>
      <c r="H25" s="10">
        <v>45623</v>
      </c>
      <c r="I25" s="14">
        <v>100.508918</v>
      </c>
    </row>
    <row r="26" ht="15" spans="2:9">
      <c r="B26" s="11"/>
      <c r="C26" s="12"/>
      <c r="D26" s="12"/>
      <c r="E26" s="12"/>
      <c r="H26" s="10">
        <v>45624</v>
      </c>
      <c r="I26" s="14">
        <v>100.530835</v>
      </c>
    </row>
    <row r="27" ht="15" spans="2:9">
      <c r="B27" s="11"/>
      <c r="C27" s="12"/>
      <c r="D27" s="12"/>
      <c r="E27" s="12"/>
      <c r="H27" s="10">
        <v>45625</v>
      </c>
      <c r="I27" s="14">
        <v>100.5527</v>
      </c>
    </row>
    <row r="28" ht="15" spans="2:9">
      <c r="B28" s="11"/>
      <c r="C28" s="12"/>
      <c r="D28" s="12"/>
      <c r="E28" s="12"/>
      <c r="H28" s="10">
        <v>45628</v>
      </c>
      <c r="I28" s="14">
        <v>100.618367</v>
      </c>
    </row>
    <row r="29" ht="15" spans="2:9">
      <c r="B29" s="11"/>
      <c r="C29" s="12"/>
      <c r="D29" s="12"/>
      <c r="E29" s="12"/>
      <c r="H29" s="10">
        <v>45629</v>
      </c>
      <c r="I29" s="14">
        <v>100.640391</v>
      </c>
    </row>
    <row r="30" ht="15" spans="2:9">
      <c r="B30" s="11"/>
      <c r="C30" s="12"/>
      <c r="D30" s="12"/>
      <c r="E30" s="12"/>
      <c r="H30" s="10">
        <v>45630</v>
      </c>
      <c r="I30" s="14">
        <v>100.662504</v>
      </c>
    </row>
    <row r="31" ht="15" spans="2:9">
      <c r="B31" s="11"/>
      <c r="C31" s="12"/>
      <c r="D31" s="12"/>
      <c r="E31" s="12"/>
      <c r="H31" s="10">
        <v>45631</v>
      </c>
      <c r="I31" s="14">
        <v>100.684622</v>
      </c>
    </row>
    <row r="32" ht="15" spans="2:9">
      <c r="B32" s="11"/>
      <c r="C32" s="12"/>
      <c r="D32" s="12"/>
      <c r="E32" s="12"/>
      <c r="H32" s="10">
        <v>45632</v>
      </c>
      <c r="I32" s="14">
        <v>100.706465</v>
      </c>
    </row>
    <row r="33" ht="15" spans="2:9">
      <c r="B33" s="11"/>
      <c r="C33" s="12"/>
      <c r="D33" s="12"/>
      <c r="E33" s="12"/>
      <c r="H33" s="10">
        <v>45635</v>
      </c>
      <c r="I33" s="14">
        <v>100.771924</v>
      </c>
    </row>
    <row r="34" ht="15" spans="2:9">
      <c r="B34" s="11"/>
      <c r="C34" s="12"/>
      <c r="D34" s="12"/>
      <c r="E34" s="12"/>
      <c r="H34" s="10">
        <v>45636</v>
      </c>
      <c r="I34" s="14">
        <v>100.793534</v>
      </c>
    </row>
    <row r="35" ht="15" spans="2:9">
      <c r="B35" s="11"/>
      <c r="C35" s="12"/>
      <c r="D35" s="12"/>
      <c r="E35" s="12"/>
      <c r="H35" s="10">
        <v>45637</v>
      </c>
      <c r="I35" s="14">
        <v>100.815037</v>
      </c>
    </row>
    <row r="36" ht="15" spans="2:9">
      <c r="B36" s="11"/>
      <c r="C36" s="12"/>
      <c r="D36" s="12"/>
      <c r="E36" s="12"/>
      <c r="H36" s="10">
        <v>45638</v>
      </c>
      <c r="I36" s="14">
        <v>100.836264</v>
      </c>
    </row>
    <row r="37" ht="15" spans="2:9">
      <c r="B37" s="11"/>
      <c r="C37" s="12"/>
      <c r="D37" s="12"/>
      <c r="E37" s="12"/>
      <c r="H37" s="10">
        <v>45639</v>
      </c>
      <c r="I37" s="14">
        <v>100.857608</v>
      </c>
    </row>
    <row r="38" ht="15" spans="2:9">
      <c r="B38" s="11"/>
      <c r="C38" s="12"/>
      <c r="D38" s="12"/>
      <c r="E38" s="12"/>
      <c r="H38" s="10">
        <v>45642</v>
      </c>
      <c r="I38" s="14">
        <v>100.921961</v>
      </c>
    </row>
    <row r="39" ht="15" spans="2:9">
      <c r="B39" s="11"/>
      <c r="C39" s="12"/>
      <c r="D39" s="12"/>
      <c r="E39" s="12"/>
      <c r="H39" s="10">
        <v>45643</v>
      </c>
      <c r="I39" s="14">
        <v>100.943435</v>
      </c>
    </row>
    <row r="40" ht="15" spans="2:9">
      <c r="B40" s="11"/>
      <c r="C40" s="12"/>
      <c r="D40" s="12"/>
      <c r="E40" s="12"/>
      <c r="H40" s="10">
        <v>45644</v>
      </c>
      <c r="I40" s="14">
        <v>100.964857</v>
      </c>
    </row>
    <row r="41" ht="15" spans="2:9">
      <c r="B41" s="11"/>
      <c r="C41" s="12"/>
      <c r="D41" s="12"/>
      <c r="E41" s="12"/>
      <c r="H41" s="10">
        <v>45645</v>
      </c>
      <c r="I41" s="14">
        <v>100.986312</v>
      </c>
    </row>
    <row r="42" ht="15" spans="2:9">
      <c r="B42" s="11"/>
      <c r="C42" s="12"/>
      <c r="D42" s="12"/>
      <c r="E42" s="12"/>
      <c r="H42" s="10">
        <v>45646</v>
      </c>
      <c r="I42" s="14">
        <v>101.007856</v>
      </c>
    </row>
    <row r="43" ht="15" spans="2:9">
      <c r="B43" s="11"/>
      <c r="C43" s="12"/>
      <c r="D43" s="12"/>
      <c r="E43" s="12"/>
      <c r="H43" s="10">
        <v>45649</v>
      </c>
      <c r="I43" s="14">
        <v>101.07236</v>
      </c>
    </row>
    <row r="44" ht="15" spans="2:9">
      <c r="B44" s="11"/>
      <c r="C44" s="12"/>
      <c r="D44" s="12"/>
      <c r="E44" s="12"/>
      <c r="H44" s="10">
        <v>45650</v>
      </c>
      <c r="I44" s="14">
        <v>101.093754</v>
      </c>
    </row>
    <row r="45" ht="15" spans="2:9">
      <c r="B45" s="11"/>
      <c r="C45" s="12"/>
      <c r="D45" s="12"/>
      <c r="E45" s="12"/>
      <c r="H45" s="10">
        <v>45651</v>
      </c>
      <c r="I45" s="14">
        <v>101.115208</v>
      </c>
    </row>
    <row r="46" ht="15" spans="2:9">
      <c r="B46" s="11"/>
      <c r="C46" s="12"/>
      <c r="D46" s="12"/>
      <c r="E46" s="12"/>
      <c r="H46" s="10">
        <v>45652</v>
      </c>
      <c r="I46" s="14">
        <v>101.136133</v>
      </c>
    </row>
    <row r="47" ht="15" spans="2:9">
      <c r="B47" s="11"/>
      <c r="C47" s="12"/>
      <c r="D47" s="12"/>
      <c r="E47" s="12"/>
      <c r="H47" s="10">
        <v>45653</v>
      </c>
      <c r="I47" s="14">
        <v>101.156192</v>
      </c>
    </row>
    <row r="48" ht="15" spans="2:9">
      <c r="B48" s="11"/>
      <c r="C48" s="12"/>
      <c r="D48" s="12"/>
      <c r="E48" s="12"/>
      <c r="H48" s="10">
        <v>45656</v>
      </c>
      <c r="I48" s="14">
        <v>101.214721</v>
      </c>
    </row>
    <row r="49" ht="15" spans="2:9">
      <c r="B49" s="11"/>
      <c r="C49" s="12"/>
      <c r="D49" s="12"/>
      <c r="E49" s="12"/>
      <c r="H49" s="10">
        <v>45657</v>
      </c>
      <c r="I49" s="14">
        <v>101.233136</v>
      </c>
    </row>
    <row r="50" ht="15" spans="2:9">
      <c r="B50" s="11"/>
      <c r="C50" s="12"/>
      <c r="D50" s="12"/>
      <c r="E50" s="12"/>
      <c r="H50" s="10">
        <v>45658</v>
      </c>
      <c r="I50" s="14">
        <v>101.251555</v>
      </c>
    </row>
    <row r="51" ht="15" spans="2:9">
      <c r="B51" s="11"/>
      <c r="C51" s="12"/>
      <c r="D51" s="12"/>
      <c r="E51" s="12"/>
      <c r="H51" s="10">
        <v>45659</v>
      </c>
      <c r="I51" s="14">
        <v>101.269977</v>
      </c>
    </row>
    <row r="52" ht="15" spans="2:9">
      <c r="B52" s="11"/>
      <c r="C52" s="12"/>
      <c r="D52" s="12"/>
      <c r="E52" s="12"/>
      <c r="H52" s="10">
        <v>45660</v>
      </c>
      <c r="I52" s="14">
        <v>101.288403</v>
      </c>
    </row>
    <row r="53" ht="15" spans="2:9">
      <c r="B53" s="11"/>
      <c r="C53" s="12"/>
      <c r="D53" s="12"/>
      <c r="E53" s="12"/>
      <c r="H53" s="10">
        <v>45663</v>
      </c>
      <c r="I53" s="14">
        <v>101.345406</v>
      </c>
    </row>
    <row r="54" ht="15" spans="2:9">
      <c r="B54" s="11"/>
      <c r="C54" s="12"/>
      <c r="D54" s="12"/>
      <c r="E54" s="12"/>
      <c r="H54" s="10">
        <v>45664</v>
      </c>
      <c r="I54" s="14">
        <v>101.363648</v>
      </c>
    </row>
    <row r="55" ht="15" spans="2:9">
      <c r="B55" s="11"/>
      <c r="C55" s="12"/>
      <c r="D55" s="12"/>
      <c r="E55" s="12"/>
      <c r="H55" s="10">
        <v>45665</v>
      </c>
      <c r="I55" s="14">
        <v>101.381753</v>
      </c>
    </row>
    <row r="56" ht="15" spans="2:9">
      <c r="B56" s="11"/>
      <c r="C56" s="12"/>
      <c r="D56" s="12"/>
      <c r="E56" s="12"/>
      <c r="H56" s="10">
        <v>45666</v>
      </c>
      <c r="I56" s="14">
        <v>101.399607</v>
      </c>
    </row>
    <row r="57" ht="15" spans="2:9">
      <c r="B57" s="11"/>
      <c r="C57" s="12"/>
      <c r="D57" s="12"/>
      <c r="E57" s="12"/>
      <c r="H57" s="10">
        <v>45667</v>
      </c>
      <c r="I57" s="14">
        <v>101.417436</v>
      </c>
    </row>
    <row r="58" ht="15" spans="2:9">
      <c r="B58" s="11"/>
      <c r="C58" s="12"/>
      <c r="D58" s="12"/>
      <c r="E58" s="12"/>
      <c r="H58" s="10">
        <v>45670</v>
      </c>
      <c r="I58" s="14">
        <v>101.470962</v>
      </c>
    </row>
    <row r="59" ht="15" spans="2:9">
      <c r="B59" s="11"/>
      <c r="C59" s="12"/>
      <c r="D59" s="12"/>
      <c r="E59" s="12"/>
      <c r="H59" s="10">
        <v>45671</v>
      </c>
      <c r="I59" s="14">
        <v>101.48886</v>
      </c>
    </row>
    <row r="60" ht="15" spans="2:9">
      <c r="B60" s="11"/>
      <c r="C60" s="12"/>
      <c r="D60" s="12"/>
      <c r="E60" s="12"/>
      <c r="H60" s="10">
        <v>45672</v>
      </c>
      <c r="I60" s="14">
        <v>101.506762</v>
      </c>
    </row>
    <row r="61" ht="15" spans="2:9">
      <c r="B61" s="11"/>
      <c r="C61" s="12"/>
      <c r="D61" s="12"/>
      <c r="E61" s="12"/>
      <c r="H61" s="10">
        <v>45673</v>
      </c>
      <c r="I61" s="14">
        <v>101.524667</v>
      </c>
    </row>
    <row r="62" ht="15" spans="2:9">
      <c r="B62" s="11"/>
      <c r="C62" s="12"/>
      <c r="D62" s="12"/>
      <c r="E62" s="12"/>
      <c r="H62" s="10">
        <v>45674</v>
      </c>
      <c r="I62" s="14">
        <v>101.542575</v>
      </c>
    </row>
    <row r="63" ht="15" spans="2:9">
      <c r="B63" s="11"/>
      <c r="C63" s="12"/>
      <c r="D63" s="12"/>
      <c r="E63" s="12"/>
      <c r="H63" s="10">
        <v>45677</v>
      </c>
      <c r="I63" s="14">
        <v>101.596307</v>
      </c>
    </row>
    <row r="64" ht="15" spans="2:9">
      <c r="B64" s="11"/>
      <c r="C64" s="12"/>
      <c r="D64" s="12"/>
      <c r="E64" s="12"/>
      <c r="H64" s="10">
        <v>45678</v>
      </c>
      <c r="I64" s="14">
        <v>101.615526</v>
      </c>
    </row>
    <row r="65" ht="15" spans="2:9">
      <c r="B65" s="11"/>
      <c r="C65" s="12"/>
      <c r="D65" s="12"/>
      <c r="E65" s="12"/>
      <c r="H65" s="10">
        <v>45679</v>
      </c>
      <c r="I65" s="14">
        <v>101.635736</v>
      </c>
    </row>
    <row r="66" ht="15" spans="2:9">
      <c r="B66" s="11"/>
      <c r="C66" s="12"/>
      <c r="D66" s="12"/>
      <c r="E66" s="12"/>
      <c r="H66" s="10">
        <v>45680</v>
      </c>
      <c r="I66" s="14">
        <v>101.65643</v>
      </c>
    </row>
    <row r="67" ht="15" spans="2:9">
      <c r="B67" s="11"/>
      <c r="C67" s="12"/>
      <c r="D67" s="12"/>
      <c r="E67" s="12"/>
      <c r="H67" s="10">
        <v>45681</v>
      </c>
      <c r="I67" s="14">
        <v>101.677213</v>
      </c>
    </row>
    <row r="68" ht="15" spans="2:9">
      <c r="B68" s="11"/>
      <c r="C68" s="12"/>
      <c r="D68" s="12"/>
      <c r="E68" s="12"/>
      <c r="H68" s="10">
        <v>45684</v>
      </c>
      <c r="I68" s="14">
        <v>101.740083</v>
      </c>
    </row>
    <row r="69" ht="15" spans="2:9">
      <c r="B69" s="11"/>
      <c r="C69" s="12"/>
      <c r="D69" s="12"/>
      <c r="E69" s="12"/>
      <c r="H69" s="10">
        <v>45685</v>
      </c>
      <c r="I69" s="14">
        <v>101.761703</v>
      </c>
    </row>
    <row r="70" ht="15" spans="2:9">
      <c r="B70" s="11"/>
      <c r="C70" s="12"/>
      <c r="D70" s="12"/>
      <c r="E70" s="12"/>
      <c r="H70" s="10">
        <v>45686</v>
      </c>
      <c r="I70" s="14">
        <v>101.783327</v>
      </c>
    </row>
    <row r="71" ht="15" spans="2:9">
      <c r="B71" s="11"/>
      <c r="C71" s="12"/>
      <c r="D71" s="12"/>
      <c r="E71" s="12"/>
      <c r="H71" s="10">
        <v>45687</v>
      </c>
      <c r="I71" s="14">
        <v>101.805069</v>
      </c>
    </row>
    <row r="72" ht="15" spans="2:9">
      <c r="B72" s="11"/>
      <c r="C72" s="12"/>
      <c r="D72" s="12"/>
      <c r="E72" s="12"/>
      <c r="H72" s="10">
        <v>45688</v>
      </c>
      <c r="I72" s="14">
        <v>101.826844</v>
      </c>
    </row>
    <row r="73" ht="15" spans="2:9">
      <c r="B73" s="11"/>
      <c r="C73" s="12"/>
      <c r="D73" s="12"/>
      <c r="E73" s="12"/>
      <c r="H73" s="10">
        <v>45691</v>
      </c>
      <c r="I73" s="14">
        <v>101.892268</v>
      </c>
    </row>
    <row r="74" ht="15" spans="2:9">
      <c r="B74" s="11"/>
      <c r="C74" s="12"/>
      <c r="D74" s="12"/>
      <c r="E74" s="12"/>
      <c r="H74" s="10">
        <v>45692</v>
      </c>
      <c r="I74" s="14">
        <v>101.913779</v>
      </c>
    </row>
    <row r="75" ht="15" spans="2:9">
      <c r="B75" s="11"/>
      <c r="C75" s="12"/>
      <c r="D75" s="12"/>
      <c r="E75" s="12"/>
      <c r="H75" s="10">
        <v>45693</v>
      </c>
      <c r="I75" s="14">
        <v>101.935153</v>
      </c>
    </row>
    <row r="76" ht="15" spans="2:9">
      <c r="B76" s="11"/>
      <c r="C76" s="12"/>
      <c r="D76" s="12"/>
      <c r="E76" s="12"/>
      <c r="H76" s="10">
        <v>45694</v>
      </c>
      <c r="I76" s="14">
        <v>101.956559</v>
      </c>
    </row>
    <row r="77" ht="15" spans="2:9">
      <c r="B77" s="11"/>
      <c r="C77" s="12"/>
      <c r="D77" s="12"/>
      <c r="E77" s="12"/>
      <c r="H77" s="10">
        <v>45695</v>
      </c>
      <c r="I77" s="14">
        <v>101.978027</v>
      </c>
    </row>
    <row r="78" ht="15" spans="2:9">
      <c r="B78" s="11"/>
      <c r="C78" s="12"/>
      <c r="D78" s="12"/>
      <c r="E78" s="12"/>
      <c r="H78" s="10">
        <v>45698</v>
      </c>
      <c r="I78" s="14">
        <v>102.042415</v>
      </c>
    </row>
    <row r="79" ht="15" spans="2:9">
      <c r="B79" s="11"/>
      <c r="C79" s="12"/>
      <c r="D79" s="12"/>
      <c r="E79" s="12"/>
      <c r="H79" s="10">
        <v>45699</v>
      </c>
      <c r="I79" s="14">
        <v>102.063872</v>
      </c>
    </row>
    <row r="80" ht="15" spans="2:9">
      <c r="B80" s="11"/>
      <c r="C80" s="12"/>
      <c r="D80" s="12"/>
      <c r="E80" s="12"/>
      <c r="H80" s="10">
        <v>45700</v>
      </c>
      <c r="I80" s="14">
        <v>102.085277</v>
      </c>
    </row>
    <row r="81" ht="15" spans="2:9">
      <c r="B81" s="11"/>
      <c r="C81" s="12"/>
      <c r="D81" s="12"/>
      <c r="E81" s="12"/>
      <c r="H81" s="10">
        <v>45701</v>
      </c>
      <c r="I81" s="14">
        <v>102.105751</v>
      </c>
    </row>
    <row r="82" ht="15" spans="2:9">
      <c r="B82" s="11"/>
      <c r="C82" s="12"/>
      <c r="D82" s="12"/>
      <c r="E82" s="12"/>
      <c r="H82" s="10">
        <v>45702</v>
      </c>
      <c r="I82" s="14">
        <v>102.12586</v>
      </c>
    </row>
    <row r="83" ht="15" spans="2:9">
      <c r="B83" s="11"/>
      <c r="C83" s="12"/>
      <c r="D83" s="12"/>
      <c r="E83" s="12"/>
      <c r="H83" s="10">
        <v>45705</v>
      </c>
      <c r="I83" s="14">
        <v>102.18705</v>
      </c>
    </row>
    <row r="84" ht="15" spans="2:9">
      <c r="B84" s="11"/>
      <c r="C84" s="12"/>
      <c r="D84" s="12"/>
      <c r="E84" s="12"/>
      <c r="H84" s="10">
        <v>45706</v>
      </c>
      <c r="I84" s="14">
        <v>102.208197</v>
      </c>
    </row>
    <row r="85" ht="15" spans="2:9">
      <c r="B85" s="11"/>
      <c r="C85" s="12"/>
      <c r="D85" s="12"/>
      <c r="E85" s="12"/>
      <c r="H85" s="10">
        <v>45707</v>
      </c>
      <c r="I85" s="14">
        <v>102.229462</v>
      </c>
    </row>
    <row r="86" ht="15" spans="2:9">
      <c r="B86" s="11"/>
      <c r="C86" s="12"/>
      <c r="D86" s="12"/>
      <c r="E86" s="12"/>
      <c r="H86" s="10">
        <v>45708</v>
      </c>
      <c r="I86" s="14">
        <v>102.250817</v>
      </c>
    </row>
    <row r="87" ht="15" spans="2:9">
      <c r="B87" s="11"/>
      <c r="C87" s="12"/>
      <c r="D87" s="12"/>
      <c r="E87" s="12"/>
      <c r="H87" s="10">
        <v>45709</v>
      </c>
      <c r="I87" s="14">
        <v>102.272091</v>
      </c>
    </row>
    <row r="88" ht="15" spans="2:9">
      <c r="B88" s="11"/>
      <c r="C88" s="12"/>
      <c r="D88" s="12"/>
      <c r="E88" s="12"/>
      <c r="H88" s="10">
        <v>45712</v>
      </c>
      <c r="I88" s="14">
        <v>102.33604</v>
      </c>
    </row>
    <row r="89" ht="15" spans="2:9">
      <c r="B89" s="11"/>
      <c r="C89" s="12"/>
      <c r="D89" s="12"/>
      <c r="E89" s="12"/>
      <c r="H89" s="10">
        <v>45713</v>
      </c>
      <c r="I89" s="14">
        <v>102.35699</v>
      </c>
    </row>
    <row r="90" ht="15" spans="2:9">
      <c r="B90" s="11"/>
      <c r="C90" s="12"/>
      <c r="D90" s="12"/>
      <c r="E90" s="12"/>
      <c r="H90" s="10">
        <v>45714</v>
      </c>
      <c r="I90" s="14">
        <v>102.37749</v>
      </c>
    </row>
    <row r="91" ht="15" spans="2:9">
      <c r="B91" s="11"/>
      <c r="C91" s="12"/>
      <c r="D91" s="12"/>
      <c r="E91" s="12"/>
      <c r="H91" s="10">
        <v>45715</v>
      </c>
      <c r="I91" s="14">
        <v>102.397965</v>
      </c>
    </row>
    <row r="92" ht="15" spans="2:9">
      <c r="B92" s="11"/>
      <c r="C92" s="12"/>
      <c r="D92" s="12"/>
      <c r="E92" s="12"/>
      <c r="H92" s="10">
        <v>45716</v>
      </c>
      <c r="I92" s="14">
        <v>102.418388</v>
      </c>
    </row>
    <row r="93" ht="15" spans="2:9">
      <c r="B93" s="11"/>
      <c r="C93" s="12"/>
      <c r="D93" s="12"/>
      <c r="E93" s="12"/>
      <c r="H93" s="10">
        <v>45719</v>
      </c>
      <c r="I93" s="14">
        <v>102.479469</v>
      </c>
    </row>
    <row r="94" ht="15" spans="2:9">
      <c r="B94" s="11"/>
      <c r="C94" s="12"/>
      <c r="D94" s="12"/>
      <c r="E94" s="12"/>
      <c r="H94" s="10">
        <v>45720</v>
      </c>
      <c r="I94" s="14">
        <v>102.499282</v>
      </c>
    </row>
    <row r="95" ht="15" spans="2:9">
      <c r="B95" s="11"/>
      <c r="C95" s="12"/>
      <c r="D95" s="12"/>
      <c r="E95" s="12"/>
      <c r="H95" s="10">
        <v>45721</v>
      </c>
      <c r="I95" s="14">
        <v>102.518956</v>
      </c>
    </row>
    <row r="96" ht="15" spans="2:9">
      <c r="B96" s="11"/>
      <c r="C96" s="12"/>
      <c r="D96" s="12"/>
      <c r="E96" s="12"/>
      <c r="H96" s="10">
        <v>45722</v>
      </c>
      <c r="I96" s="14">
        <v>102.538378</v>
      </c>
    </row>
    <row r="97" ht="15" spans="2:9">
      <c r="B97" s="11"/>
      <c r="C97" s="12"/>
      <c r="D97" s="12"/>
      <c r="E97" s="12"/>
      <c r="H97" s="10">
        <v>45723</v>
      </c>
      <c r="I97" s="14">
        <v>102.557575</v>
      </c>
    </row>
    <row r="98" ht="15" spans="2:9">
      <c r="B98" s="11"/>
      <c r="C98" s="12"/>
      <c r="D98" s="12"/>
      <c r="E98" s="12"/>
      <c r="H98" s="10">
        <v>45726</v>
      </c>
      <c r="I98" s="14">
        <v>102.615064</v>
      </c>
    </row>
    <row r="99" ht="15" spans="2:9">
      <c r="B99" s="11"/>
      <c r="C99" s="12"/>
      <c r="D99" s="12"/>
      <c r="E99" s="12"/>
      <c r="H99" s="10">
        <v>45727</v>
      </c>
      <c r="I99" s="14">
        <v>102.633934</v>
      </c>
    </row>
    <row r="100" ht="15" spans="2:9">
      <c r="B100" s="11"/>
      <c r="C100" s="12"/>
      <c r="D100" s="12"/>
      <c r="E100" s="12"/>
      <c r="H100" s="10">
        <v>45728</v>
      </c>
      <c r="I100" s="14">
        <v>102.652893</v>
      </c>
    </row>
    <row r="101" ht="15" spans="2:9">
      <c r="B101" s="11"/>
      <c r="C101" s="12"/>
      <c r="D101" s="12"/>
      <c r="E101" s="12"/>
      <c r="H101" s="10">
        <v>45729</v>
      </c>
      <c r="I101" s="14">
        <v>102.671827</v>
      </c>
    </row>
    <row r="102" ht="15" spans="2:9">
      <c r="B102" s="11"/>
      <c r="C102" s="12"/>
      <c r="D102" s="12"/>
      <c r="E102" s="12"/>
      <c r="H102" s="10">
        <v>45730</v>
      </c>
      <c r="I102" s="14">
        <v>102.691049</v>
      </c>
    </row>
    <row r="103" ht="15" spans="2:9">
      <c r="B103" s="11"/>
      <c r="C103" s="12"/>
      <c r="D103" s="12"/>
      <c r="E103" s="12"/>
      <c r="H103" s="10">
        <v>45733</v>
      </c>
      <c r="I103" s="14">
        <v>102.749326</v>
      </c>
    </row>
    <row r="104" ht="15" spans="2:9">
      <c r="B104" s="11"/>
      <c r="C104" s="12"/>
      <c r="D104" s="12"/>
      <c r="E104" s="12"/>
      <c r="H104" s="10">
        <v>45734</v>
      </c>
      <c r="I104" s="14">
        <v>102.770333</v>
      </c>
    </row>
    <row r="105" ht="15" spans="2:9">
      <c r="B105" s="11"/>
      <c r="C105" s="12"/>
      <c r="D105" s="12"/>
      <c r="E105" s="12"/>
      <c r="H105" s="10">
        <v>45735</v>
      </c>
      <c r="I105" s="14">
        <v>102.791344</v>
      </c>
    </row>
    <row r="106" ht="15" spans="2:9">
      <c r="B106" s="11"/>
      <c r="C106" s="12"/>
      <c r="D106" s="12"/>
      <c r="E106" s="12"/>
      <c r="H106" s="10">
        <v>45736</v>
      </c>
      <c r="I106" s="14">
        <v>102.812359</v>
      </c>
    </row>
    <row r="107" ht="15" spans="2:9">
      <c r="B107" s="11"/>
      <c r="C107" s="12"/>
      <c r="D107" s="12"/>
      <c r="E107" s="12"/>
      <c r="H107" s="10">
        <v>45737</v>
      </c>
      <c r="I107" s="14">
        <v>102.833378</v>
      </c>
    </row>
    <row r="108" ht="15" spans="2:9">
      <c r="B108" s="11"/>
      <c r="C108" s="12"/>
      <c r="D108" s="12"/>
      <c r="E108" s="12"/>
      <c r="H108" s="10">
        <v>45740</v>
      </c>
      <c r="I108" s="14">
        <v>102.896449</v>
      </c>
    </row>
    <row r="109" ht="15" spans="2:9">
      <c r="B109" s="11"/>
      <c r="C109" s="12"/>
      <c r="D109" s="12"/>
      <c r="E109" s="12"/>
      <c r="H109" s="10">
        <v>45741</v>
      </c>
      <c r="I109" s="14">
        <v>102.917486</v>
      </c>
    </row>
    <row r="110" ht="15" spans="2:9">
      <c r="B110" s="11"/>
      <c r="C110" s="12"/>
      <c r="D110" s="12"/>
      <c r="E110" s="12"/>
      <c r="H110" s="10">
        <v>45742</v>
      </c>
      <c r="I110" s="14">
        <v>102.938527</v>
      </c>
    </row>
    <row r="111" ht="15" spans="2:9">
      <c r="B111" s="11"/>
      <c r="C111" s="12"/>
      <c r="D111" s="12"/>
      <c r="E111" s="12"/>
      <c r="H111" s="10">
        <v>45743</v>
      </c>
      <c r="I111" s="14">
        <v>102.959572</v>
      </c>
    </row>
    <row r="112" ht="15" spans="2:9">
      <c r="B112" s="11"/>
      <c r="C112" s="12"/>
      <c r="D112" s="12"/>
      <c r="E112" s="12"/>
      <c r="H112" s="10">
        <v>45744</v>
      </c>
      <c r="I112" s="14">
        <v>102.980622</v>
      </c>
    </row>
    <row r="113" ht="15" spans="2:9">
      <c r="B113" s="11"/>
      <c r="C113" s="12"/>
      <c r="D113" s="12"/>
      <c r="E113" s="12"/>
      <c r="H113" s="10">
        <v>45747</v>
      </c>
      <c r="I113" s="14">
        <v>103.043783</v>
      </c>
    </row>
    <row r="114" ht="15" spans="2:9">
      <c r="B114"/>
      <c r="C114"/>
      <c r="D114"/>
      <c r="E114"/>
      <c r="H114" s="10">
        <v>45748</v>
      </c>
      <c r="I114" s="14">
        <v>103.065451</v>
      </c>
    </row>
    <row r="115" ht="15" spans="2:9">
      <c r="B115"/>
      <c r="C115"/>
      <c r="D115"/>
      <c r="E115"/>
      <c r="H115" s="10">
        <v>45749</v>
      </c>
      <c r="I115" s="14">
        <v>103.087352</v>
      </c>
    </row>
    <row r="116" ht="15" spans="2:9">
      <c r="B116"/>
      <c r="C116"/>
      <c r="D116"/>
      <c r="E116"/>
      <c r="H116" s="10">
        <v>45750</v>
      </c>
      <c r="I116" s="14">
        <v>103.109229</v>
      </c>
    </row>
    <row r="117" ht="15" spans="2:9">
      <c r="B117"/>
      <c r="C117"/>
      <c r="D117"/>
      <c r="E117"/>
      <c r="H117" s="10">
        <v>45751</v>
      </c>
      <c r="I117" s="14">
        <v>103.131082</v>
      </c>
    </row>
    <row r="118" ht="15" spans="2:9">
      <c r="B118"/>
      <c r="C118"/>
      <c r="D118"/>
      <c r="E118"/>
      <c r="H118" s="10">
        <v>45754</v>
      </c>
      <c r="I118" s="14">
        <v>103.1968</v>
      </c>
    </row>
    <row r="119" ht="15" spans="2:9">
      <c r="B119"/>
      <c r="C119"/>
      <c r="D119"/>
      <c r="E119"/>
      <c r="H119" s="10">
        <v>45755</v>
      </c>
      <c r="I119" s="14">
        <v>103.218901</v>
      </c>
    </row>
    <row r="120" ht="15" spans="2:9">
      <c r="B120"/>
      <c r="C120"/>
      <c r="D120"/>
      <c r="E120"/>
      <c r="H120" s="10">
        <v>45756</v>
      </c>
      <c r="I120" s="14">
        <v>103.241064</v>
      </c>
    </row>
    <row r="121" ht="15" spans="2:9">
      <c r="B121"/>
      <c r="C121"/>
      <c r="D121"/>
      <c r="E121"/>
      <c r="H121" s="10">
        <v>45757</v>
      </c>
      <c r="I121" s="14">
        <v>103.263404</v>
      </c>
    </row>
    <row r="122" ht="15" spans="2:9">
      <c r="B122"/>
      <c r="C122"/>
      <c r="D122"/>
      <c r="E122"/>
      <c r="H122" s="10">
        <v>45758</v>
      </c>
      <c r="I122" s="14">
        <v>103.285261</v>
      </c>
    </row>
    <row r="123" ht="15" spans="2:9">
      <c r="B123"/>
      <c r="C123"/>
      <c r="D123"/>
      <c r="E123"/>
      <c r="H123" s="10">
        <v>45761</v>
      </c>
      <c r="I123" s="14">
        <v>103.349383</v>
      </c>
    </row>
    <row r="124" ht="15" spans="2:9">
      <c r="B124"/>
      <c r="C124"/>
      <c r="D124"/>
      <c r="E124"/>
      <c r="H124" s="10">
        <v>45762</v>
      </c>
      <c r="I124" s="14">
        <v>103.369737</v>
      </c>
    </row>
    <row r="125" ht="15" spans="2:9">
      <c r="B125"/>
      <c r="C125"/>
      <c r="D125"/>
      <c r="E125"/>
      <c r="H125" s="10">
        <v>45763</v>
      </c>
      <c r="I125" s="14">
        <v>103.390124</v>
      </c>
    </row>
    <row r="126" ht="15" spans="2:9">
      <c r="B126"/>
      <c r="C126"/>
      <c r="D126"/>
      <c r="E126"/>
      <c r="H126" s="10">
        <v>45764</v>
      </c>
      <c r="I126" s="14">
        <v>103.410601</v>
      </c>
    </row>
    <row r="127" ht="15" spans="2:9">
      <c r="B127"/>
      <c r="C127"/>
      <c r="D127"/>
      <c r="E127"/>
      <c r="H127" s="10">
        <v>45765</v>
      </c>
      <c r="I127" s="14">
        <v>103.431312</v>
      </c>
    </row>
    <row r="128" ht="15" spans="2:9">
      <c r="B128"/>
      <c r="C128"/>
      <c r="D128"/>
      <c r="E128"/>
      <c r="H128" s="10">
        <v>45768</v>
      </c>
      <c r="I128" s="14">
        <v>103.493457</v>
      </c>
    </row>
    <row r="129" ht="15" spans="2:9">
      <c r="B129"/>
      <c r="C129"/>
      <c r="D129"/>
      <c r="E129"/>
      <c r="H129" s="10">
        <v>45769</v>
      </c>
      <c r="I129" s="14">
        <v>103.514242</v>
      </c>
    </row>
    <row r="130" ht="15" spans="2:9">
      <c r="B130"/>
      <c r="C130"/>
      <c r="D130"/>
      <c r="E130"/>
      <c r="H130" s="10">
        <v>45770</v>
      </c>
      <c r="I130" s="14">
        <v>103.534974</v>
      </c>
    </row>
    <row r="131" ht="15" spans="2:9">
      <c r="B131"/>
      <c r="C131"/>
      <c r="D131"/>
      <c r="E131"/>
      <c r="H131" s="10">
        <v>45771</v>
      </c>
      <c r="I131" s="14">
        <v>103.55525</v>
      </c>
    </row>
    <row r="132" ht="15" spans="2:9">
      <c r="B132"/>
      <c r="C132"/>
      <c r="D132"/>
      <c r="E132"/>
      <c r="H132" s="10">
        <v>45772</v>
      </c>
      <c r="I132" s="14">
        <v>103.575156</v>
      </c>
    </row>
    <row r="133" ht="15" spans="2:9">
      <c r="B133"/>
      <c r="C133"/>
      <c r="D133"/>
      <c r="E133"/>
      <c r="H133" s="10">
        <v>45775</v>
      </c>
      <c r="I133" s="14">
        <v>103.634827</v>
      </c>
    </row>
    <row r="134" ht="15" spans="2:9">
      <c r="B134"/>
      <c r="C134"/>
      <c r="D134"/>
      <c r="E134"/>
      <c r="H134" s="10">
        <v>45776</v>
      </c>
      <c r="I134" s="14">
        <v>103.654662</v>
      </c>
    </row>
    <row r="135" ht="15" spans="2:9">
      <c r="B135"/>
      <c r="C135"/>
      <c r="D135"/>
      <c r="E135"/>
      <c r="H135" s="10">
        <v>45777</v>
      </c>
      <c r="I135" s="14">
        <v>103.674155</v>
      </c>
    </row>
    <row r="136" ht="15" spans="2:9">
      <c r="B136"/>
      <c r="C136"/>
      <c r="D136"/>
      <c r="E136"/>
      <c r="H136" s="10">
        <v>45778</v>
      </c>
      <c r="I136" s="14">
        <v>103.693335</v>
      </c>
    </row>
    <row r="137" ht="15" spans="2:9">
      <c r="B137"/>
      <c r="C137"/>
      <c r="D137"/>
      <c r="E137"/>
      <c r="H137" s="10">
        <v>45779</v>
      </c>
      <c r="I137" s="14">
        <v>103.747519</v>
      </c>
    </row>
    <row r="138" ht="15" spans="2:9">
      <c r="B138"/>
      <c r="C138"/>
      <c r="D138"/>
      <c r="E138"/>
      <c r="H138" s="10">
        <v>45782</v>
      </c>
      <c r="I138" s="14">
        <v>103.767116</v>
      </c>
    </row>
    <row r="139" ht="15" spans="2:9">
      <c r="B139"/>
      <c r="C139" s="15"/>
      <c r="D139" s="15"/>
      <c r="E139" s="15"/>
      <c r="H139" s="10">
        <v>45783</v>
      </c>
      <c r="I139" s="14">
        <v>103.787062</v>
      </c>
    </row>
    <row r="140" ht="15" spans="4:9">
      <c r="D140" s="16"/>
      <c r="E140" s="17"/>
      <c r="H140" s="10">
        <v>45784</v>
      </c>
      <c r="I140" s="14">
        <v>103.807156</v>
      </c>
    </row>
    <row r="141" ht="15" spans="4:9">
      <c r="D141" s="16"/>
      <c r="E141" s="17"/>
      <c r="H141" s="10">
        <v>45785</v>
      </c>
      <c r="I141" s="14">
        <v>103.887549</v>
      </c>
    </row>
    <row r="142" ht="15" spans="4:9">
      <c r="D142" s="16"/>
      <c r="E142" s="17"/>
      <c r="H142" s="10">
        <v>45789</v>
      </c>
      <c r="I142" s="14">
        <v>103.907663</v>
      </c>
    </row>
    <row r="143" ht="15" spans="4:9">
      <c r="D143" s="16"/>
      <c r="E143" s="17"/>
      <c r="H143" s="10">
        <v>45790</v>
      </c>
      <c r="I143" s="14">
        <v>103.927636</v>
      </c>
    </row>
    <row r="144" ht="15" spans="4:9">
      <c r="D144" s="16"/>
      <c r="E144" s="17"/>
      <c r="H144" s="10">
        <v>45791</v>
      </c>
      <c r="I144" s="14">
        <v>103.947107</v>
      </c>
    </row>
    <row r="145" ht="15" spans="4:9">
      <c r="D145" s="16"/>
      <c r="E145" s="17"/>
      <c r="H145" s="10">
        <v>45792</v>
      </c>
      <c r="I145" s="14">
        <v>103.966521</v>
      </c>
    </row>
    <row r="146" ht="15" spans="4:9">
      <c r="D146" s="16"/>
      <c r="E146" s="17"/>
      <c r="H146" s="10">
        <v>45793</v>
      </c>
      <c r="I146" s="14">
        <v>104.024774</v>
      </c>
    </row>
    <row r="147" ht="15" spans="4:9">
      <c r="D147" s="16"/>
      <c r="E147" s="17"/>
      <c r="H147" s="10">
        <v>45796</v>
      </c>
      <c r="I147" s="14">
        <v>104.044176</v>
      </c>
    </row>
    <row r="148" ht="15" spans="4:9">
      <c r="D148" s="16"/>
      <c r="E148" s="17"/>
      <c r="H148" s="10">
        <v>45797</v>
      </c>
      <c r="I148" s="14">
        <v>104.063739</v>
      </c>
    </row>
    <row r="149" ht="15" spans="4:9">
      <c r="D149" s="16"/>
      <c r="E149" s="17"/>
      <c r="H149" s="10">
        <v>45798</v>
      </c>
      <c r="I149" s="14">
        <v>104.082687</v>
      </c>
    </row>
    <row r="150" ht="15" spans="4:9">
      <c r="D150" s="16"/>
      <c r="E150" s="17"/>
      <c r="H150" s="10">
        <v>45799</v>
      </c>
      <c r="I150" s="14">
        <v>104.10224</v>
      </c>
    </row>
    <row r="151" ht="15" spans="4:9">
      <c r="D151" s="16"/>
      <c r="E151" s="17"/>
      <c r="H151" s="10">
        <v>45800</v>
      </c>
      <c r="I151" s="14">
        <v>104.160927</v>
      </c>
    </row>
    <row r="152" ht="15" spans="4:9">
      <c r="D152" s="16"/>
      <c r="E152" s="17"/>
      <c r="H152" s="10">
        <v>45803</v>
      </c>
      <c r="I152" s="14">
        <v>104.180339</v>
      </c>
    </row>
    <row r="153" ht="15" spans="4:9">
      <c r="D153" s="16"/>
      <c r="E153" s="17"/>
      <c r="H153" s="10">
        <v>45804</v>
      </c>
      <c r="I153" s="14">
        <v>104.199734</v>
      </c>
    </row>
    <row r="154" ht="15" spans="4:9">
      <c r="D154" s="16"/>
      <c r="E154" s="17"/>
      <c r="H154" s="10">
        <v>45806</v>
      </c>
      <c r="I154" s="14">
        <v>104.238303</v>
      </c>
    </row>
    <row r="155" ht="15" spans="4:9">
      <c r="D155" s="16"/>
      <c r="E155" s="17"/>
      <c r="H155" s="10">
        <v>45807</v>
      </c>
      <c r="I155" s="14">
        <v>104.295634</v>
      </c>
    </row>
    <row r="156" ht="15" spans="4:9">
      <c r="D156" s="16"/>
      <c r="E156" s="17"/>
      <c r="H156" s="10">
        <v>45810</v>
      </c>
      <c r="I156" s="14">
        <v>104.314733</v>
      </c>
    </row>
    <row r="157" ht="15" spans="4:9">
      <c r="D157" s="16"/>
      <c r="E157" s="17"/>
      <c r="H157" s="10">
        <v>45811</v>
      </c>
      <c r="I157" s="14">
        <v>104.333857</v>
      </c>
    </row>
    <row r="158" ht="15" spans="4:9">
      <c r="D158" s="16"/>
      <c r="E158" s="17"/>
      <c r="H158" s="10">
        <v>45812</v>
      </c>
      <c r="I158" s="14">
        <v>104.352985</v>
      </c>
    </row>
    <row r="159" ht="15" spans="4:9">
      <c r="D159" s="16"/>
      <c r="E159" s="17"/>
      <c r="H159" s="10">
        <v>45813</v>
      </c>
      <c r="I159" s="14">
        <v>104.448342</v>
      </c>
    </row>
    <row r="160" ht="15" spans="4:9">
      <c r="D160" s="16"/>
      <c r="E160" s="17"/>
      <c r="H160" s="10">
        <v>45818</v>
      </c>
      <c r="I160" s="14">
        <v>104.468782</v>
      </c>
    </row>
    <row r="161" ht="15" spans="4:9">
      <c r="D161" s="18"/>
      <c r="E161" s="17"/>
      <c r="H161" s="10">
        <v>45819</v>
      </c>
      <c r="I161" s="14">
        <v>104.489229</v>
      </c>
    </row>
    <row r="162" ht="15" spans="4:9">
      <c r="D162" s="18"/>
      <c r="E162" s="17"/>
      <c r="H162" s="10">
        <v>45820</v>
      </c>
      <c r="I162" s="14">
        <v>104.509911</v>
      </c>
    </row>
    <row r="163" ht="15" spans="4:9">
      <c r="D163" s="18"/>
      <c r="E163" s="17"/>
      <c r="H163" s="10">
        <v>45821</v>
      </c>
      <c r="I163" s="14">
        <v>104.59293</v>
      </c>
    </row>
    <row r="164" ht="15" spans="4:9">
      <c r="D164" s="18"/>
      <c r="E164" s="17"/>
      <c r="H164" s="10">
        <v>45825</v>
      </c>
      <c r="I164" s="14">
        <v>104.613548</v>
      </c>
    </row>
    <row r="165" ht="15" spans="4:9">
      <c r="D165" s="18"/>
      <c r="E165" s="17"/>
      <c r="H165" s="10">
        <v>45826</v>
      </c>
      <c r="I165" s="14">
        <v>104.634343</v>
      </c>
    </row>
    <row r="166" ht="15" spans="4:9">
      <c r="D166" s="18"/>
      <c r="E166" s="17"/>
      <c r="H166" s="10">
        <v>45827</v>
      </c>
      <c r="I166" s="14">
        <v>104.654979</v>
      </c>
    </row>
    <row r="167" ht="15" spans="4:9">
      <c r="D167" s="18"/>
      <c r="E167" s="17"/>
      <c r="H167" s="10">
        <v>45828</v>
      </c>
      <c r="I167" s="14">
        <v>104.675736</v>
      </c>
    </row>
    <row r="168" ht="15" spans="4:9">
      <c r="D168" s="18"/>
      <c r="E168" s="17"/>
      <c r="H168" s="10">
        <v>45829</v>
      </c>
      <c r="I168" s="14">
        <v>104.717011</v>
      </c>
    </row>
    <row r="169" ht="15" spans="4:9">
      <c r="D169" s="18"/>
      <c r="E169" s="17"/>
      <c r="H169" s="10">
        <v>45831</v>
      </c>
      <c r="I169" s="14">
        <v>104.737725</v>
      </c>
    </row>
    <row r="170" ht="15" spans="4:9">
      <c r="D170" s="18"/>
      <c r="E170" s="17"/>
      <c r="H170" s="10">
        <v>45832</v>
      </c>
      <c r="I170" s="14">
        <v>104.758506</v>
      </c>
    </row>
    <row r="171" ht="15" spans="4:9">
      <c r="D171" s="18"/>
      <c r="E171" s="17"/>
      <c r="H171" s="10">
        <v>45833</v>
      </c>
      <c r="I171" s="14">
        <v>104.862511</v>
      </c>
    </row>
    <row r="172" ht="15" spans="4:9">
      <c r="D172" s="18"/>
      <c r="E172" s="17"/>
      <c r="H172" s="10">
        <v>45838</v>
      </c>
      <c r="I172" s="14">
        <v>104.883328</v>
      </c>
    </row>
    <row r="173" ht="15" spans="4:9">
      <c r="D173" s="18"/>
      <c r="E173" s="17"/>
      <c r="H173" s="10">
        <v>45839</v>
      </c>
      <c r="I173" s="14">
        <v>104.904013</v>
      </c>
    </row>
    <row r="174" ht="15" spans="4:9">
      <c r="D174" s="18"/>
      <c r="E174" s="17"/>
      <c r="H174" s="10">
        <v>45840</v>
      </c>
      <c r="I174" s="14">
        <v>104.924702</v>
      </c>
    </row>
    <row r="175" ht="15" spans="4:9">
      <c r="D175" s="18"/>
      <c r="E175" s="17"/>
      <c r="H175" s="10">
        <v>45841</v>
      </c>
      <c r="I175" s="14">
        <v>104.945395</v>
      </c>
    </row>
    <row r="176" ht="15" spans="4:9">
      <c r="D176" s="18"/>
      <c r="E176" s="17"/>
      <c r="H176" s="10">
        <v>45842</v>
      </c>
      <c r="I176" s="14">
        <v>105.007488</v>
      </c>
    </row>
    <row r="177" ht="15" spans="4:9">
      <c r="D177" s="18"/>
      <c r="E177" s="17"/>
      <c r="H177" s="10">
        <v>45845</v>
      </c>
      <c r="I177" s="14">
        <v>105.028263</v>
      </c>
    </row>
    <row r="178" ht="15" spans="4:10">
      <c r="D178" s="18"/>
      <c r="E178" s="17"/>
      <c r="H178" s="10">
        <v>45846</v>
      </c>
      <c r="I178" s="14">
        <v>105.048987</v>
      </c>
      <c r="J178" s="15"/>
    </row>
    <row r="179" ht="15" spans="4:9">
      <c r="D179" s="18"/>
      <c r="E179" s="17"/>
      <c r="H179" s="10">
        <v>45847</v>
      </c>
      <c r="I179" s="14">
        <v>105.069705</v>
      </c>
    </row>
    <row r="180" ht="15" spans="4:9">
      <c r="D180" s="18"/>
      <c r="E180" s="17"/>
      <c r="H180" s="10">
        <v>45848</v>
      </c>
      <c r="I180" s="14">
        <v>105.090356</v>
      </c>
    </row>
    <row r="181" ht="15" spans="4:9">
      <c r="D181" s="18"/>
      <c r="E181" s="17"/>
      <c r="H181" s="10">
        <v>45849</v>
      </c>
      <c r="I181" s="14">
        <v>105.152439</v>
      </c>
    </row>
    <row r="182" ht="15" spans="4:9">
      <c r="D182" s="18"/>
      <c r="E182" s="17"/>
      <c r="H182" s="10">
        <v>45852</v>
      </c>
      <c r="I182" s="14">
        <v>105.173537</v>
      </c>
    </row>
    <row r="183" ht="15" spans="4:9">
      <c r="D183" s="18"/>
      <c r="E183" s="17"/>
      <c r="H183" s="10">
        <v>45853</v>
      </c>
      <c r="I183" s="14">
        <v>105.19452</v>
      </c>
    </row>
    <row r="184" ht="15" spans="4:9">
      <c r="D184" s="18"/>
      <c r="E184" s="17"/>
      <c r="H184" s="10">
        <v>45854</v>
      </c>
      <c r="I184" s="14">
        <v>105.215516</v>
      </c>
    </row>
    <row r="185" ht="15" spans="4:9">
      <c r="D185" s="18"/>
      <c r="E185" s="17"/>
      <c r="H185" s="10">
        <v>45855</v>
      </c>
      <c r="I185" s="14">
        <v>105.2365</v>
      </c>
    </row>
    <row r="186" ht="15" spans="4:9">
      <c r="D186" s="18"/>
      <c r="E186" s="17"/>
      <c r="H186" s="10">
        <v>45856</v>
      </c>
      <c r="I186" s="14">
        <v>105.299503</v>
      </c>
    </row>
    <row r="187" ht="15" spans="4:10">
      <c r="D187" s="18"/>
      <c r="E187" s="17"/>
      <c r="H187" s="10">
        <v>45859</v>
      </c>
      <c r="I187" s="14">
        <v>105.320523</v>
      </c>
      <c r="J187" s="15"/>
    </row>
    <row r="188" ht="15" spans="4:9">
      <c r="D188" s="18"/>
      <c r="E188" s="17"/>
      <c r="H188" s="10">
        <v>45860</v>
      </c>
      <c r="I188" s="14">
        <v>105.341482</v>
      </c>
    </row>
    <row r="189" ht="15" spans="4:9">
      <c r="D189" s="18"/>
      <c r="E189" s="17"/>
      <c r="H189" s="10">
        <v>45861</v>
      </c>
      <c r="I189" s="14">
        <v>105.362633</v>
      </c>
    </row>
    <row r="190" ht="15" spans="4:9">
      <c r="D190" s="18"/>
      <c r="E190" s="17"/>
      <c r="H190" s="10">
        <v>45862</v>
      </c>
      <c r="I190" s="14">
        <v>105.383624</v>
      </c>
    </row>
    <row r="191" ht="15" spans="4:9">
      <c r="D191" s="18"/>
      <c r="E191" s="17"/>
      <c r="H191" s="10">
        <v>45863</v>
      </c>
      <c r="I191" s="14">
        <v>105.446244</v>
      </c>
    </row>
    <row r="192" ht="15" spans="4:9">
      <c r="D192" s="18"/>
      <c r="E192" s="17"/>
      <c r="H192" s="10">
        <v>45866</v>
      </c>
      <c r="I192" s="14">
        <v>105.46709</v>
      </c>
    </row>
    <row r="193" ht="15" spans="4:9">
      <c r="D193" s="18"/>
      <c r="E193" s="17"/>
      <c r="H193" s="10">
        <v>45867</v>
      </c>
      <c r="I193" s="14">
        <v>105.487915</v>
      </c>
    </row>
    <row r="194" ht="15" spans="4:9">
      <c r="D194" s="18"/>
      <c r="E194" s="17"/>
      <c r="H194" s="10">
        <v>45868</v>
      </c>
      <c r="I194" s="14">
        <v>105.508746</v>
      </c>
    </row>
    <row r="195" ht="15" spans="4:9">
      <c r="D195" s="18"/>
      <c r="E195" s="17"/>
      <c r="H195" s="10">
        <v>45869</v>
      </c>
      <c r="I195" s="14">
        <v>105.529518</v>
      </c>
    </row>
    <row r="196" ht="15" spans="4:9">
      <c r="D196" s="18"/>
      <c r="E196" s="17"/>
      <c r="H196" s="10">
        <v>45870</v>
      </c>
      <c r="I196" s="14">
        <v>105.592006</v>
      </c>
    </row>
    <row r="197" ht="15" spans="4:9">
      <c r="D197" s="18"/>
      <c r="E197" s="17"/>
      <c r="H197" s="10">
        <v>45873</v>
      </c>
      <c r="I197" s="14">
        <v>105.612768</v>
      </c>
    </row>
    <row r="198" ht="15" spans="4:9">
      <c r="D198" s="18"/>
      <c r="E198" s="17"/>
      <c r="H198" s="10">
        <v>45874</v>
      </c>
      <c r="I198" s="14">
        <v>105.6335</v>
      </c>
    </row>
    <row r="199" ht="15" spans="4:9">
      <c r="D199" s="18"/>
      <c r="E199" s="17"/>
      <c r="H199" s="10">
        <v>45875</v>
      </c>
      <c r="I199" s="14">
        <v>105.653956</v>
      </c>
    </row>
    <row r="200" ht="15" spans="4:9">
      <c r="D200" s="18"/>
      <c r="E200" s="17"/>
      <c r="H200" s="10">
        <v>45876</v>
      </c>
      <c r="I200" s="14">
        <v>105.674411</v>
      </c>
    </row>
    <row r="201" ht="15" spans="4:9">
      <c r="D201" s="18"/>
      <c r="E201" s="17"/>
      <c r="H201" s="10">
        <v>45877</v>
      </c>
      <c r="I201" s="14">
        <v>105.735757</v>
      </c>
    </row>
    <row r="202" ht="15" spans="4:9">
      <c r="D202" s="18"/>
      <c r="E202" s="17"/>
      <c r="H202" s="10">
        <v>45880</v>
      </c>
      <c r="I202" s="14">
        <v>105.756332</v>
      </c>
    </row>
    <row r="203" ht="15" spans="4:9">
      <c r="D203" s="18"/>
      <c r="E203" s="17"/>
      <c r="H203" s="10">
        <v>45881</v>
      </c>
      <c r="I203" s="14">
        <v>105.776749</v>
      </c>
    </row>
    <row r="204" ht="15" spans="4:9">
      <c r="D204" s="18"/>
      <c r="E204" s="17"/>
      <c r="H204" s="10">
        <v>45882</v>
      </c>
      <c r="I204" s="14">
        <v>105.797122</v>
      </c>
    </row>
    <row r="205" ht="15" spans="4:9">
      <c r="D205" s="18"/>
      <c r="E205" s="17"/>
      <c r="H205" s="10">
        <v>45883</v>
      </c>
      <c r="I205" s="14">
        <v>105.817323</v>
      </c>
    </row>
    <row r="206" ht="15" spans="4:9">
      <c r="D206" s="18"/>
      <c r="E206" s="17"/>
      <c r="H206" s="10">
        <v>45884</v>
      </c>
      <c r="I206" s="14">
        <v>105.878328</v>
      </c>
    </row>
    <row r="207" ht="15" spans="4:9">
      <c r="D207" s="18"/>
      <c r="E207" s="17"/>
      <c r="H207" s="10">
        <v>45887</v>
      </c>
      <c r="I207" s="14">
        <v>105.898722</v>
      </c>
    </row>
    <row r="208" ht="15" spans="4:9">
      <c r="D208" s="18"/>
      <c r="E208" s="17"/>
      <c r="H208" s="10">
        <v>45888</v>
      </c>
      <c r="I208" s="14">
        <v>105.919163</v>
      </c>
    </row>
    <row r="209" ht="15" spans="4:9">
      <c r="D209" s="18"/>
      <c r="E209" s="17"/>
      <c r="H209" s="10">
        <v>45889</v>
      </c>
      <c r="I209" s="14">
        <v>105.939603</v>
      </c>
    </row>
    <row r="210" ht="15" spans="4:9">
      <c r="D210" s="18"/>
      <c r="E210" s="17"/>
      <c r="H210" s="10">
        <v>45890</v>
      </c>
      <c r="I210" s="14">
        <v>105.960037</v>
      </c>
    </row>
    <row r="211" ht="15" spans="4:9">
      <c r="D211" s="18"/>
      <c r="E211" s="17"/>
      <c r="H211" s="10">
        <v>45891</v>
      </c>
      <c r="I211" s="14">
        <v>106.021523</v>
      </c>
    </row>
    <row r="212" ht="15" spans="4:9">
      <c r="D212" s="18"/>
      <c r="E212" s="17"/>
      <c r="H212" s="10">
        <v>45894</v>
      </c>
      <c r="I212" s="14">
        <v>106.042022</v>
      </c>
    </row>
    <row r="213" ht="15" spans="4:9">
      <c r="D213" s="18"/>
      <c r="E213" s="17"/>
      <c r="H213" s="10">
        <v>45895</v>
      </c>
      <c r="I213" s="14">
        <v>106.062539</v>
      </c>
    </row>
    <row r="214" ht="15" spans="4:9">
      <c r="D214" s="18"/>
      <c r="E214" s="17"/>
      <c r="H214" s="10">
        <v>45896</v>
      </c>
      <c r="I214" s="14">
        <v>106.08306</v>
      </c>
    </row>
    <row r="215" ht="15" spans="4:9">
      <c r="D215" s="18"/>
      <c r="E215" s="17"/>
      <c r="H215" s="10">
        <v>45897</v>
      </c>
      <c r="I215" s="14">
        <v>106.103567</v>
      </c>
    </row>
    <row r="216" ht="15" spans="4:9">
      <c r="D216" s="18"/>
      <c r="E216" s="17"/>
      <c r="H216" s="10">
        <v>45898</v>
      </c>
      <c r="I216" s="14">
        <v>106.165337</v>
      </c>
    </row>
    <row r="217" ht="15" spans="4:9">
      <c r="D217" s="18"/>
      <c r="E217" s="17"/>
      <c r="H217" s="10">
        <v>45901</v>
      </c>
      <c r="I217" s="14">
        <v>106.185942</v>
      </c>
    </row>
    <row r="218" ht="15" spans="4:9">
      <c r="D218" s="18"/>
      <c r="E218" s="17"/>
      <c r="H218" s="10">
        <v>45902</v>
      </c>
      <c r="I218" s="14">
        <v>106.206467</v>
      </c>
    </row>
    <row r="219" ht="15" spans="4:9">
      <c r="D219" s="18"/>
      <c r="E219" s="17"/>
      <c r="H219" s="10">
        <v>45903</v>
      </c>
      <c r="I219" s="14">
        <v>106.227012</v>
      </c>
    </row>
    <row r="220" ht="15" spans="4:9">
      <c r="D220" s="18"/>
      <c r="E220" s="17"/>
      <c r="H220" s="10">
        <v>45904</v>
      </c>
      <c r="I220" s="14">
        <v>106.247552</v>
      </c>
    </row>
    <row r="221" ht="15" spans="4:9">
      <c r="D221" s="18"/>
      <c r="E221" s="17"/>
      <c r="H221" s="10">
        <v>45905</v>
      </c>
      <c r="I221" s="14">
        <v>106.309466</v>
      </c>
    </row>
    <row r="222" ht="15" spans="4:9">
      <c r="D222" s="18"/>
      <c r="E222" s="17"/>
      <c r="H222" s="10">
        <v>45908</v>
      </c>
      <c r="I222" s="14">
        <v>106.330093</v>
      </c>
    </row>
    <row r="223" ht="15" spans="4:9">
      <c r="D223" s="18"/>
      <c r="E223" s="17"/>
      <c r="H223" s="10">
        <v>45909</v>
      </c>
      <c r="I223" s="14">
        <v>106.35071</v>
      </c>
    </row>
    <row r="224" ht="15" spans="4:9">
      <c r="D224" s="18"/>
      <c r="E224" s="17"/>
      <c r="H224" s="10">
        <v>45910</v>
      </c>
      <c r="I224" s="14">
        <v>106.371239</v>
      </c>
    </row>
    <row r="225" ht="15" spans="4:9">
      <c r="D225" s="18"/>
      <c r="E225" s="17"/>
      <c r="H225" s="10">
        <v>45911</v>
      </c>
      <c r="I225" s="14">
        <v>106.391757</v>
      </c>
    </row>
    <row r="226" ht="15" spans="4:9">
      <c r="D226" s="18"/>
      <c r="E226" s="17"/>
      <c r="H226" s="10">
        <v>45912</v>
      </c>
      <c r="I226" s="14">
        <v>106.453637</v>
      </c>
    </row>
    <row r="227" ht="15" spans="4:9">
      <c r="D227" s="18"/>
      <c r="E227" s="17"/>
      <c r="H227" s="10">
        <v>45915</v>
      </c>
      <c r="I227" s="14">
        <v>106.474228</v>
      </c>
    </row>
    <row r="228" ht="15" spans="4:9">
      <c r="D228" s="18"/>
      <c r="E228" s="17"/>
      <c r="H228" s="10">
        <v>45916</v>
      </c>
      <c r="I228" s="14">
        <v>106.494868</v>
      </c>
    </row>
    <row r="229" ht="15" spans="4:9">
      <c r="D229" s="18"/>
      <c r="E229" s="17"/>
      <c r="H229" s="10">
        <v>45917</v>
      </c>
      <c r="I229" s="14">
        <v>106.515496</v>
      </c>
    </row>
    <row r="230" ht="15" spans="4:9">
      <c r="D230" s="18"/>
      <c r="E230" s="17"/>
      <c r="H230" s="10">
        <v>45918</v>
      </c>
      <c r="I230" s="14">
        <v>106.536115</v>
      </c>
    </row>
    <row r="231" ht="15" spans="4:9">
      <c r="D231" s="18"/>
      <c r="E231" s="17"/>
      <c r="H231" s="10">
        <v>45919</v>
      </c>
      <c r="I231" s="14">
        <v>106.597888</v>
      </c>
    </row>
    <row r="232" ht="15" spans="4:9">
      <c r="D232" s="18"/>
      <c r="E232" s="17"/>
      <c r="H232" s="10">
        <v>45922</v>
      </c>
      <c r="I232" s="14">
        <v>106.61839</v>
      </c>
    </row>
    <row r="233" ht="15" spans="4:9">
      <c r="D233" s="18"/>
      <c r="E233" s="17"/>
      <c r="H233" s="10">
        <v>45923</v>
      </c>
      <c r="I233" s="14">
        <v>106.638953</v>
      </c>
    </row>
    <row r="234" ht="15" spans="4:5">
      <c r="D234" s="18"/>
      <c r="E234" s="17"/>
    </row>
    <row r="235" ht="15" spans="4:5">
      <c r="D235" s="18"/>
      <c r="E235" s="17"/>
    </row>
    <row r="236" ht="15" spans="4:5">
      <c r="D236" s="18"/>
      <c r="E236" s="17"/>
    </row>
    <row r="237" ht="15" spans="4:5">
      <c r="D237" s="18"/>
      <c r="E237" s="17"/>
    </row>
    <row r="238" ht="15" spans="4:5">
      <c r="D238" s="18"/>
      <c r="E238" s="17"/>
    </row>
    <row r="239" ht="15" spans="4:5">
      <c r="D239" s="18"/>
      <c r="E239" s="17"/>
    </row>
    <row r="240" ht="15" spans="4:5">
      <c r="D240" s="18"/>
      <c r="E240" s="17"/>
    </row>
    <row r="241" ht="15" spans="4:5">
      <c r="D241" s="18"/>
      <c r="E241" s="17"/>
    </row>
    <row r="242" ht="15" spans="4:5">
      <c r="D242" s="18"/>
      <c r="E242" s="17"/>
    </row>
    <row r="243" ht="15" spans="4:5">
      <c r="D243" s="18"/>
      <c r="E243" s="17"/>
    </row>
    <row r="244" ht="15" spans="4:5">
      <c r="D244" s="18"/>
      <c r="E244" s="17"/>
    </row>
    <row r="245" ht="15" spans="5:5">
      <c r="E245" s="17"/>
    </row>
  </sheetData>
  <mergeCells count="2">
    <mergeCell ref="B2:E3"/>
    <mergeCell ref="H2:I3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CC8302-8BA9-4FC4-A6A7-9A1E0E325A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AZIR website</vt:lpstr>
      <vt:lpstr>1D AZIR və 1W AZIR</vt:lpstr>
      <vt:lpstr>1D AZIR və 1W AZIR %</vt:lpstr>
      <vt:lpstr>1D AZIR və 1W AZIR   VOLUME</vt:lpstr>
      <vt:lpstr>1D AZIR və 1W AZIR   COUNT</vt:lpstr>
      <vt:lpstr>Toplanan Faizli indekslər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sadig</cp:lastModifiedBy>
  <dcterms:created xsi:type="dcterms:W3CDTF">2015-06-05T18:17:00Z</dcterms:created>
  <dcterms:modified xsi:type="dcterms:W3CDTF">2025-09-24T19:44:24Z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e6204500-c0fe-484b-a2d0-2740ea5525db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g/yD91OxEhOa7X2SJ9iMPLkNcHXq4rO1</vt:lpwstr>
  </property>
  <property fmtid="{D5CDD505-2E9C-101B-9397-08002B2CF9AE}" pid="5" name="bjClsUserRVM">
    <vt:lpwstr>[]</vt:lpwstr>
  </property>
  <property fmtid="{D5CDD505-2E9C-101B-9397-08002B2CF9AE}" pid="6" name="ICV">
    <vt:lpwstr>4952CE2E1BB54C23A4870202CBBCA473_12</vt:lpwstr>
  </property>
  <property fmtid="{D5CDD505-2E9C-101B-9397-08002B2CF9AE}" pid="7" name="KSOProductBuildVer">
    <vt:lpwstr>1033-12.2.0.22549</vt:lpwstr>
  </property>
</Properties>
</file>